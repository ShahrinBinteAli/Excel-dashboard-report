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929E6EDF-2584-4DB8-89FA-300ABC0EE276}" xr6:coauthVersionLast="47" xr6:coauthVersionMax="47" xr10:uidLastSave="{00000000-0000-0000-0000-000000000000}"/>
  <bookViews>
    <workbookView xWindow="-110" yWindow="-110" windowWidth="19420" windowHeight="10300" activeTab="2" xr2:uid="{E0DD00A0-CA9E-4A47-9AEB-82BACFB0851C}"/>
  </bookViews>
  <sheets>
    <sheet name="Calculation" sheetId="3" r:id="rId1"/>
    <sheet name="Raw Data" sheetId="1" r:id="rId2"/>
    <sheet name="Dashboard" sheetId="2" r:id="rId3"/>
  </sheets>
  <definedNames>
    <definedName name="_xlchart.v5.0" hidden="1">Calculation!$J$3</definedName>
    <definedName name="_xlchart.v5.1" hidden="1">Calculation!$J$4:$J$8</definedName>
    <definedName name="_xlchart.v5.10" hidden="1">Calculation!$J$4:$J$8</definedName>
    <definedName name="_xlchart.v5.11" hidden="1">Calculation!$K$2</definedName>
    <definedName name="_xlchart.v5.12" hidden="1">Calculation!$K$3</definedName>
    <definedName name="_xlchart.v5.13" hidden="1">Calculation!$K$4:$K$8</definedName>
    <definedName name="_xlchart.v5.14" hidden="1">Calculation!$J$3</definedName>
    <definedName name="_xlchart.v5.15" hidden="1">Calculation!$J$4:$J$8</definedName>
    <definedName name="_xlchart.v5.16" hidden="1">Calculation!$K$2</definedName>
    <definedName name="_xlchart.v5.17" hidden="1">Calculation!$K$3</definedName>
    <definedName name="_xlchart.v5.18" hidden="1">Calculation!$K$4:$K$8</definedName>
    <definedName name="_xlchart.v5.19" hidden="1">Calculation!$J$3</definedName>
    <definedName name="_xlchart.v5.2" hidden="1">Calculation!$K$2</definedName>
    <definedName name="_xlchart.v5.20" hidden="1">Calculation!$J$4:$J$8</definedName>
    <definedName name="_xlchart.v5.21" hidden="1">Calculation!$K$3</definedName>
    <definedName name="_xlchart.v5.22" hidden="1">Calculation!$K$4:$K$8</definedName>
    <definedName name="_xlchart.v5.3" hidden="1">Calculation!$K$3</definedName>
    <definedName name="_xlchart.v5.4" hidden="1">Calculation!$K$4:$K$8</definedName>
    <definedName name="_xlchart.v5.5" hidden="1">Calculation!$J$3</definedName>
    <definedName name="_xlchart.v5.6" hidden="1">Calculation!$J$4:$J$8</definedName>
    <definedName name="_xlchart.v5.7" hidden="1">Calculation!$K$3</definedName>
    <definedName name="_xlchart.v5.8" hidden="1">Calculation!$K$4:$K$8</definedName>
    <definedName name="_xlchart.v5.9" hidden="1">Calculation!$J$3</definedName>
    <definedName name="Slicer_Name">#N/A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3" l="1"/>
  <c r="K5" i="3"/>
  <c r="J6" i="3"/>
  <c r="K6" i="3"/>
  <c r="J7" i="3"/>
  <c r="K7" i="3"/>
  <c r="J8" i="3"/>
  <c r="K8" i="3"/>
  <c r="K4" i="3"/>
  <c r="J4" i="3"/>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alcChain>
</file>

<file path=xl/sharedStrings.xml><?xml version="1.0" encoding="utf-8"?>
<sst xmlns="http://schemas.openxmlformats.org/spreadsheetml/2006/main" count="699" uniqueCount="67">
  <si>
    <t>Name</t>
  </si>
  <si>
    <t>Region</t>
  </si>
  <si>
    <t>Date</t>
  </si>
  <si>
    <t>Total Calls</t>
  </si>
  <si>
    <t>Calls Reached</t>
  </si>
  <si>
    <t>Average Duration (sec)</t>
  </si>
  <si>
    <t>Deals Closed</t>
  </si>
  <si>
    <t>Call Conversion Rate (%)</t>
  </si>
  <si>
    <t>Deal Value ($)</t>
  </si>
  <si>
    <t>Service Level</t>
  </si>
  <si>
    <t>Call Drop Rate (%)</t>
  </si>
  <si>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</si>
  <si>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</si>
  <si>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</si>
  <si>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</si>
  <si>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</si>
  <si>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</si>
  <si>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</si>
  <si>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</si>
  <si>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</si>
  <si>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</si>
  <si>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</si>
  <si>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</si>
  <si>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</si>
  <si>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</si>
  <si>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</si>
  <si>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</si>
  <si>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</si>
  <si>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</si>
  <si>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</si>
  <si>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</si>
  <si>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</si>
  <si>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</si>
  <si>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</si>
  <si>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</si>
  <si>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</si>
  <si>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</si>
  <si>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</si>
  <si>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</si>
  <si>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</si>
  <si>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</si>
  <si>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</si>
  <si>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Sales Dashboard</t>
  </si>
  <si>
    <t>Evaluation of Sales KPI</t>
  </si>
  <si>
    <t>Sum of Deal Value ($)</t>
  </si>
  <si>
    <t>Values</t>
  </si>
  <si>
    <t xml:space="preserve"> Total Calls</t>
  </si>
  <si>
    <t xml:space="preserve"> Calls Reached</t>
  </si>
  <si>
    <t xml:space="preserve"> Deals Closed</t>
  </si>
  <si>
    <t xml:space="preserve"> Deal Value ($)</t>
  </si>
  <si>
    <t>Row Labels</t>
  </si>
  <si>
    <t>Grand Total</t>
  </si>
  <si>
    <t>Jan</t>
  </si>
  <si>
    <t>Feb</t>
  </si>
  <si>
    <t>Mar</t>
  </si>
  <si>
    <t>Apr</t>
  </si>
  <si>
    <t>May</t>
  </si>
  <si>
    <t>Jun</t>
  </si>
  <si>
    <t>Jul</t>
  </si>
  <si>
    <t>Aug</t>
  </si>
  <si>
    <t>Sep</t>
  </si>
  <si>
    <t>Oct</t>
  </si>
  <si>
    <t>Nov</t>
  </si>
  <si>
    <t>Dec</t>
  </si>
  <si>
    <t>Average of Service Level</t>
  </si>
  <si>
    <t>Division</t>
  </si>
  <si>
    <t>Avg.Service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</si>
</sst>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6" formatCode="_(&quot;$&quot;* #,##0_);_(&quot;$&quot;* \(#,##0\);_(&quot;$&quot;* &quot;-&quot;??_);_(@_)"/>
  </numFmts>
  <fonts count="5">
    <font>
      <sz val="11"/>
      <color theme="1"/>
      <name val="Aptos Narrow"/>
      <family val="2"/>
      <scheme val="minor"/>
    </font>
    <font>
      <sz val="11"/>
      <color theme="1"/>
      <name val="Aptos Narrow"/>
      <family val="2"/>
      <scheme val="minor"/>
    </font>
    <font>
      <sz val="16"/>
      <color theme="0" tint="-4.9989318521683403E-2"/>
      <name val="Aptos Narrow"/>
      <scheme val="minor"/>
    </font>
    <font>
      <sz val="9"/>
      <color theme="1"/>
      <name val="Aptos Narrow"/>
      <scheme val="minor"/>
    </font>
    <font>
      <sz val="9"/>
      <color theme="5" tint="0.59999389629810485"/>
      <name val="Aptos Narrow"/>
      <scheme val="minor"/>
    </font>
  </fonts>
  <fills count="5">
    <fill>
      <patternFill patternType="none"/>
    </fill>
    <fill>
      <patternFill patternType="gray125"/>
    </fill>
    <fill>
      <patternFill patternType="solid">
        <fgColor theme="0" tint="-4.9989318521683403E-2"/>
        <bgColor indexed="64"/>
      </patternFill>
    </fill>
    <fill>
      <patternFill patternType="solid">
        <fgColor theme="8" tint="-0.249977111117893"/>
        <bgColor indexed="64"/>
      </patternFill>
    </fill>
    <fill>
      <patternFill patternType="solid">
        <fgColor rgb="FFFFFF99"/>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3" borderId="0" xfId="0" applyFont="1" applyFill="1"/>
    <xf numFmtId="0" fontId="4" fillId="3" borderId="0" xfId="0" applyFont="1" applyFill="1"/>
    <xf numFmtId="0" fontId="3" fillId="3" borderId="0" xfId="0" applyFont="1" applyFill="1"/>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166" fontId="0" fillId="0" borderId="0" xfId="0" applyNumberFormat="1"/>
    <xf numFmtId="43" fontId="0" fillId="0" borderId="0" xfId="2" applyFont="1"/>
    <xf numFmtId="0" fontId="0" fillId="4" borderId="0" xfId="0" applyFill="1"/>
  </cellXfs>
  <cellStyles count="3">
    <cellStyle name="Comma" xfId="2" builtinId="3"/>
    <cellStyle name="Normal" xfId="0" builtinId="0"/>
    <cellStyle name="Per cent" xfId="1" builtinId="5"/>
  </cellStyles>
  <dxfs count="32">
    <dxf>
      <numFmt numFmtId="34" formatCode="_(&quot;$&quot;* #,##0.00_);_(&quot;$&quot;* \(#,##0.00\);_(&quot;$&quot;* &quot;-&quot;??_);_(@_)"/>
    </dxf>
    <dxf>
      <numFmt numFmtId="166" formatCode="_(&quot;$&quot;* #,##0_);_(&quot;$&quot;* \(#,##0\);_(&quot;$&quot;* &quot;-&quot;??_);_(@_)"/>
    </dxf>
    <dxf>
      <numFmt numFmtId="34" formatCode="_(&quot;$&quot;* #,##0.00_);_(&quot;$&quot;* \(#,##0.00\);_(&quot;$&quot;* &quot;-&quot;??_);_(@_)"/>
    </dxf>
    <dxf>
      <fill>
        <patternFill patternType="solid">
          <bgColor rgb="FFFFFF99"/>
        </patternFill>
      </fill>
    </dxf>
    <dxf>
      <fill>
        <patternFill patternType="solid">
          <bgColor rgb="FFFFFF99"/>
        </patternFill>
      </fill>
    </dxf>
    <dxf>
      <numFmt numFmtId="34" formatCode="_(&quot;$&quot;* #,##0.00_);_(&quot;$&quot;* \(#,##0.00\);_(&quot;$&quot;* &quot;-&quot;??_);_(@_)"/>
    </dxf>
    <dxf>
      <numFmt numFmtId="166" formatCode="_(&quot;$&quot;* #,##0_);_(&quot;$&quot;* \(#,##0\);_(&quot;$&quot;* &quot;-&quot;??_);_(@_)"/>
    </dxf>
    <dxf>
      <numFmt numFmtId="34" formatCode="_(&quot;$&quot;* #,##0.00_);_(&quot;$&quot;* \(#,##0.00\);_(&quot;$&quot;* &quot;-&quot;??_);_(@_)"/>
    </dxf>
    <dxf>
      <fill>
        <patternFill patternType="solid">
          <bgColor rgb="FFFFFF99"/>
        </patternFill>
      </fill>
    </dxf>
    <dxf>
      <fill>
        <patternFill patternType="solid">
          <bgColor rgb="FFFFFF99"/>
        </patternFill>
      </fill>
    </dxf>
    <dxf>
      <numFmt numFmtId="34" formatCode="_(&quot;$&quot;* #,##0.00_);_(&quot;$&quot;* \(#,##0.00\);_(&quot;$&quot;* &quot;-&quot;??_);_(@_)"/>
    </dxf>
    <dxf>
      <numFmt numFmtId="166" formatCode="_(&quot;$&quot;* #,##0_);_(&quot;$&quot;* \(#,##0\);_(&quot;$&quot;* &quot;-&quot;??_);_(@_)"/>
    </dxf>
    <dxf>
      <numFmt numFmtId="34" formatCode="_(&quot;$&quot;* #,##0.00_);_(&quot;$&quot;* \(#,##0.00\);_(&quot;$&quot;* &quot;-&quot;??_);_(@_)"/>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numFmt numFmtId="34" formatCode="_(&quot;$&quot;* #,##0.00_);_(&quot;$&quot;* \(#,##0.00\);_(&quot;$&quot;* &quot;-&quot;??_);_(@_)"/>
    </dxf>
    <dxf>
      <numFmt numFmtId="166" formatCode="_(&quot;$&quot;* #,##0_);_(&quot;$&quot;* \(#,##0\);_(&quot;$&quot;* &quot;-&quot;??_);_(@_)"/>
    </dxf>
    <dxf>
      <numFmt numFmtId="34" formatCode="_(&quot;$&quot;* #,##0.00_);_(&quot;$&quot;* \(#,##0.00\);_(&quot;$&quot;* &quot;-&quot;??_);_(@_)"/>
    </dxf>
    <dxf>
      <fill>
        <patternFill patternType="solid">
          <bgColor rgb="FFFFFF99"/>
        </patternFill>
      </fill>
    </dxf>
    <dxf>
      <fill>
        <patternFill patternType="solid">
          <bgColor rgb="FFFFFF99"/>
        </patternFill>
      </fill>
    </dxf>
    <dxf>
      <numFmt numFmtId="34" formatCode="_(&quot;$&quot;* #,##0.00_);_(&quot;$&quot;* \(#,##0.00\);_(&quot;$&quot;* &quot;-&quot;??_);_(@_)"/>
    </dxf>
    <dxf>
      <numFmt numFmtId="166" formatCode="_(&quot;$&quot;* #,##0_);_(&quot;$&quot;* \(#,##0\);_(&quot;$&quot;* &quot;-&quot;??_);_(@_)"/>
    </dxf>
    <dxf>
      <numFmt numFmtId="34" formatCode="_(&quot;$&quot;* #,##0.00_);_(&quot;$&quot;* \(#,##0.00\);_(&quot;$&quot;* &quot;-&quot;??_);_(@_)"/>
    </dxf>
    <dxf>
      <fill>
        <patternFill>
          <bgColor theme="8"/>
        </patternFill>
      </fill>
    </dxf>
    <dxf>
      <numFmt numFmtId="166"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d/mm/yyyy"/>
    </dxf>
  </dxfs>
  <tableStyles count="1" defaultTableStyle="TableStyleMedium2" defaultPivotStyle="PivotStyleLight16">
    <tableStyle name="Slicer Style 1" pivot="0" table="0" count="1" xr9:uid="{D89177CB-4B89-48A0-ABFE-AA307C2D328A}">
      <tableStyleElement type="wholeTable" dxfId="25"/>
    </tableStyle>
  </tableStyles>
  <colors>
    <mruColors>
      <color rgb="FFFFFF99"/>
      <color rgb="FF8F42A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[KPI_Busi_Dashboard-01.xlsx]Calculation!P_02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a:t>
            </a:r>
            <a:r>
              <a:rPr lang="en-US" baseline="0"/>
              <a:t> by Months</a:t>
            </a:r>
            <a:endParaRPr lang="en-US"/>
          </a:p>
        </c:rich>
      </c:tx>
      <c:layout>
        <c:manualLayout>
          <c:xMode val="edge"/>
          <c:yMode val="edge"/>
          <c:x val="0.3013541119860017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42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86779878321667E-2"/>
          <c:y val="0.16907443957368129"/>
          <c:w val="0.8518632983377078"/>
          <c:h val="0.72088764946048411"/>
        </c:manualLayout>
      </c:layout>
      <c:barChart>
        <c:barDir val="bar"/>
        <c:grouping val="clustered"/>
        <c:varyColors val="0"/>
        <c:ser>
          <c:idx val="0"/>
          <c:order val="0"/>
          <c:tx>
            <c:strRef>
              <c:f>Calculation!$E$3</c:f>
              <c:strCache>
                <c:ptCount val="1"/>
                <c:pt idx="0">
                  <c:v>Total</c:v>
                </c:pt>
              </c:strCache>
            </c:strRef>
          </c:tx>
          <c:spPr>
            <a:solidFill>
              <a:srgbClr val="8F42A4"/>
            </a:solidFill>
            <a:ln>
              <a:noFill/>
            </a:ln>
            <a:effectLst/>
          </c:spPr>
          <c:invertIfNegative val="0"/>
          <c:cat>
            <c:strRef>
              <c:f>Calculation!$D$4:$D$16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Calculation!$E$4:$E$16</c:f>
              <c:numCache>
                <c:formatCode>General</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C5D6-4694-8169-B023ECAFEABA}"/>
            </c:ext>
          </c:extLst>
        </c:ser>
        <c:dLbls>
          <c:showLegendKey val="0"/>
          <c:showVal val="0"/>
          <c:showCatName val="0"/>
          <c:showSerName val="0"/>
          <c:showPercent val="0"/>
          <c:showBubbleSize val="0"/>
        </c:dLbls>
        <c:gapWidth val="40"/>
        <c:axId val="1174407519"/>
        <c:axId val="1174407103"/>
      </c:barChart>
      <c:catAx>
        <c:axId val="1174407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07103"/>
        <c:crosses val="autoZero"/>
        <c:auto val="1"/>
        <c:lblAlgn val="ctr"/>
        <c:lblOffset val="100"/>
        <c:noMultiLvlLbl val="0"/>
      </c:catAx>
      <c:valAx>
        <c:axId val="1174407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0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title pos="t" align="ctr" overlay="0">
      <cx:tx>
        <cx:txData>
          <cx:v>Service Level by Months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Service Level by Months</a:t>
          </a:r>
        </a:p>
      </cx:txPr>
    </cx:title>
    <cx:plotArea>
      <cx:plotAreaRegion>
        <cx:series layoutId="regionMap" uniqueId="{2451E894-8CB2-43F4-B96A-E8CC20C590F3}">
          <cx:tx>
            <cx:txData>
              <cx:f>_xlchart.v5.21</cx:f>
              <cx:v> Avg.Service level </cx:v>
            </cx:txData>
          </cx:tx>
          <cx:dataLabels>
            <cx:visibility seriesName="0" categoryName="0" value="1"/>
          </cx:dataLabels>
          <cx:dataId val="0"/>
          <cx:layoutPr>
            <cx:geography cultureLanguage="en-GB" cultureRegion="US" attribution="Powered by Bing">
              <cx:geoCache provider="{E9337A44-BEBE-4D9F-B70C-5C5E7DAFC167}">
                <cx:binary>7HvZktw4suWvlNXzpQr70tbdD2SsuS9aSnqhZUopriBIAgSXt/m3+bDxSNWiDGWluqbrttkdG5lM
ikwyCMAdcD/u5/DvH6e/fawf7vofJlM37m8fp3/8mHvf/u2nn9zH/MHcuVem+NhbZz/7Vx+t+cl+
/lx8fPjpU383Fk32E0GY/fQxv+v9w/TjP/8OT8se7Jn9eOcL21wPD/188+CG2rsXrj176Ye7T6Zo
VoXzffHR43/8+EN81xfurv7hxx8eGl/4+fXcPvzjxye3/fjDT8cP+2bgH2qYmx8+wXcJecUoF4IS
rL/8+fGH2jbZL5c1ekUoFUTSXy7LX4e+uDPw9ccJ/e//Vf8XTK3J6rtPDy7/9Y7nJvc4tbtPn/oH
52B5j///0VOeLOv3m3784aMdGn+wagYGPlz4feTC2eTL1cQelhevHu3x01On/PPvR78ACx395iu/
HZvze5e+dVuSF97fZWDWv9hzElMp2POew6+UIpQzSb/49chzv8/p3/PdHz3nyHu/3/Y/0H+3c50/
+L/Sd+yVxJwg9Ie+E0JgRZlEj3+OfPdlPv+e3557xpHPvtzyP9BfNxAR2qH/Kx3GXylKwRdYPhcm
lf416H0Ji79OYFWEwkGQ+vdc9fLTjpx2fPNf4r6n4fPr9AF24ZoQ9mt+AEN8lT6UfoURoYQz9mUj
4/+37XSURP6b08oqv6vu/spNzl4hKaSSmj/xIoAATDDnGv/iRfLUi4/z+Pe2+DOPONrXj3f8JZv5
v9VJL2CTryHbk9v+LGSjr5RkFGn+S2Z/euYOkI0DYlNafQlV6qm34q/g0h9P6Y+A2u9Q68kS/hMo
7MhvX8Gw3wDu6s7frR+R8b989Vd0d/TVlwD2F6vtP/3jRwhucC4E/cqDh+f88uUvuSDJ77y3WX9n
fvXD028+3Dn/jx81eSUkFQKB4yhBFMMZGx8er6BXnGmkJCeMwQkUcKWxvc8BvLNXVHA4r4grRcHj
EF6dHR4voVeSMow1A5zx+MTfSpMrW8+ARX8z2i8//9AM5soWjXewLnhQ++W2w2SlQgJDXJCMac6J
0FjA9Y93N1D+HO7+L1xi52ZcuR22uT6ZutFvW92RhFdjf1IJetUXY3ifY2XW8yjoPo3apkzwOLr4
K9s9NxNY7fFMFCIca8EIBCuGns4kmMVXEdX9zhThYcondIVZ0142zVK8JpViscmaLWkqv6t7uS4G
XNWxbYezKoz8S7HwJdk9N5fDqp9ahVDMAGWDpQGsEThpX1uFWo/SwoluV4o8TcqUidMur5pNCPkp
8lx/LEaMSTyT2XZxmxb2tJMi2zbL3cICWVfcstNowWQzj1MTF2Geb79jLfbtDBVHioLTEJXw6ekM
p85VOCze7dziJxRrFFajTKXbkoLSk34oyFZN1CVttdBY1YVMyh6HreRL/tbqUrwvuWMPVRSk+p7x
4JA8MR4HzCAJZgKilaYAdJ9OrY2WrtWtaHeV13XScNPEWhT2pp5a/4bz2t72y5x+yAhNP7WyaO9U
US1xuajwpkLTskGlmNcvm+tgja/9+TglmJVEhwOn0MGaX+3yMC1qkRFvd2iI1BlGQ32JoFGwQXnT
x6XBxsdeT2GLi+G75jg+YTA2QRxTLBCHCRzvpaa2pvV+hLGRTEbp609RLtlKok6vQu3xCmdpE/e1
F6vCtHo3mLpdt12fX79sA0gexzYgDCnBJdT9EiDvUxuMoc91SYZ+NxXL9Wzl3K9Q4Pw0EG3WwYv8
wo1M0bjXc7NP53T38vDPuIAcNiw6WEFreTj+X7nAzrYkoc/6Xe8XfMGbVK6C6O5aXUZJm7VZwmkT
bcrC2+/tx+PAAg6gEN8kh5iiyTfOryLcM9x1dqcz3N7RiW10W4DDMyQvbTNn8by09ameRmOSoVxC
SEwfrgYb+OmExrB92Q70mf1AtVBcacaVoMeG4G7ykWbC7qw3+UVUWXrq9OiamBndnEVRGOMmmHnt
NT3BENs2URalt7j3zsZzVjYfR6/0llQ2XdeeoTVhC9uTNpB3tpQLjts+S5MqROa6kabdRBBEN3U+
pH6tIFCt03GZ6jXnBeo2LIxpFTOrpums46HYtlGwp1o5/+blRQPMPN57DM4AOmQsJMnx+UNu4MgL
ZHd5xqos5tlYbB3D9pIWerp5eSz87WCMIAKZhGA4eZBOnu40mssyDyHqd3nXaRWLiti9Hfq8iLWa
eLEujZ2yy1k1VRcjs8jrYkTTVW1mV6yFdvRinjjuk2joCUmcZvX5ZEpTxC9PEyr9I5MwSL4CU6UJ
Onx6OsvOBNtmkwu7YvYiLiDKl/HseXfG20zeqMrT844V6f7lUclh8U8jIdMKYyUguyFMyGF3fnUM
KbKTDR53u6VB7Spgr+NaldE9JdO0GfGcRjHjo0yySeOLqm/YvtH5vHW1NB9brz6PebgC+NqeV2Yu
thMTZidaWcdGmZTEPrfm1pglfV8Ozq3SyjfbQY88yWosvxPTIaN8sxbOBIA0CGewuzQ/WguaSpLK
dLE7Dzn51NMahdjYLurPlmwZXyMU5mFVRU5fDlNL0lU1lnpr5lBcMIFh42tLcULonOlYjDm+QKFu
1osepquytFFiBl2/FZxM6yoQlURqPLG8d2vGUZukGu+cFYkObdxV866v09NajbtRd3i1kHStomyL
AEGY0rEr1l8MWXHaIfu+WAZIeO0cYklN/o6V45x0lg4XqKSv0YhPQ+naeFT6vldNGZuIvms9bFKT
mXArdTnumq7aRhFtE1Y4l/RzY+Jx4p+cqWxsChGj1F4p3jVxGNVNjiO6gvQHq0VLWM+dGmLNOg+h
JAqxVemHHkscWx/Itm3ardHSnDMbubjW+do7yJbjIBKFUb0qGnynO53HfYdOZqrethibWAPowBYv
sW3YxsHpT8hkxouZt1campibQs3ibWvD3aQztZ3cfFqyLiQlNZ/aBU8xKbqETro9qW0+b5ZiWQmx
nHJjL0KRrVA16jV2JqxCFb1FocpPFpyTuCHDCWnQz2qm73MNoTDkSVQ352gRZ40abwah1zIVm9KM
16js81gWxbpdcnNNXD7t01AvsZvyN+XS3UYhu5bVbGHdaD3gdyq943X9BjNSxy25RenQJto1u25u
wyWN7KeozvBZWubNuWqyXdc1Yh/KfDNTSz5Xfj4dzHSFUbHPm2WfpSouJE8apvZTxewdGLeL1l3l
pI3z1nC2j1I+m900RyVKFl3yPsZpZ7ttRWfwkyr5ysgBHt9afGvafL7JDZNtYiL8muYoi0Uqlj4m
Qvg47Uq9qcfGrwczeBPzReK9reZijnXRbpqxHOq4Ymwu44JVkHWXPh3PuoJ0d0VaZvNairHC68LV
MDktB3aJRK7viVrcJuNErnsmxLDrogkwihXSQAggVieFKqImxnhmbyNa5CqhgK2nBGW0LdaFr1WR
zIHXcNBwFD0wEszZQPscxZCd2joenDD3tO9SH+dLRZo1Fobt8dgP72fEslWHWRutBWsaejFlpOGw
eKJdEZddQ9qVhSKhSV6OlN8GF8mwFBTKIsjW8hhgz2lvfTHl7S519XI+tw1ahaVjn14ehdMD7Po9
ICswFxUaQQpQmEgCBd/TgNwhCLkK1e1uOSyUHJY8mcD2fqpps2aPNgkH84yjOFiqygqwWs3NmfAh
+zwvwei4mxRYWLW0g/TWTmxKeqXBC7mK2Nv80Tfjo5/so88KSdu1e/Tkktv0NT742Ds+ssvy4PnG
LTVel48bQsxVfxelzQTjSdgwFWqXMi4FYOiYsUWyWNlTFykGZ4FCzoJu67kU/CKPBDqt8pnulS/b
O84zcllm+WKS2cluSfql8eMW6k17z/O6jFY2FcWKzzjfKOO6laJLdoUoydaYeQiWA+vihVm9jrpp
lxLs1lOHU5+kka1vizqLPmUAOtcKNtzrThF3Mwfdr5eq+YywJSs3y2UdReh9m72htTA2aUVGoHYb
ljs09dGel4jFvrLyoibRsrZzaF/zpf+kU1mc01ajnXPImZgRyt7klNcipnUu9gzZojuANbXy1Ug/
1HhR+7Qp68ss7+odiWbw2tik0evOzsXPM+kIjy0qxE4NdIm5GNTPnLh2rbRnIUYV4IEzCznzKsML
Wmk/8U1Tu/q0HVlj10T1qk1a3/KNbx2HNS0lW5VDW5g4lcGf2zrXRSyGNECsphWCmpXnydSOH5yd
+P28wDRiz838vp9YsXdlFw3rAsrJ7ZDSvI5VL/ga12zJ4zmtq/IM1eE91MrmI578tAckQ89qKFHe
6iwM8cwHfy4anWZxRap2jNWY3xmW3joZ3mpTGwCzbNFsQ5iyIi4jPF260ci4nGrdx8u8DCFm2mm6
qovabnKEXDLNRbUiC2GJssheRV3jzoqp6d8VoppXqE+LE+VTu49ogzaNYep81qaBBkFUyPdlx9x+
cbpKqkhkcT6Gn2UrqliYKD8pKf9U9oFvUj/R3SD6ChIMumWTvZPemx0Ek+jWh6p/zUtJobZumngg
dqKx7U24MANiVZwhmq8dFqGDREjulcncdU4BTM6BVSeOLWSfdaJ8gyMcrZeZ9GcozdfClK+XNJSr
oRj9CZB/fZOIaKxXTUkWCIvLuLZaCQi96ZIntpo6MJLQRb7ph3LepLgTcaVKlcVZPpgyznwYhrVH
U9tBCq59lqgZ+TRR2tVJl0Zb7CN1P3VFdTkUTG1Eky9JNaU8aZscJ+2izKpa6uxsWDq0kjIP53lO
qY+Xog6rDFpF+2XBs4znDqlT6JFESVOwIcaBqw9hLM0b1qhh1bTD4BLY7nhv+rKN4rwr69teuzK2
5XDtl3R5109zu52mAj8UXd58TjOevYmQsPc5LWAlXhRQeesh26QtKy+nJW3PZFPkKKmMh8YFEdIm
XHTwsxwhRIym3apibC+kxui+7Ytp1+TZdDIuEbpxrM4+DDgi6wBpcD+303LCgpCx7rmckrHF4Ybi
YTpJu7zYY667zTj0/YXuZjwnBBd2L2WAWENxZYoE6otoTR1TxUZMfLjIvOvOVVeqq1Kk+R3m7WQ2
mcUf88i6D5DQEGTIrLyDY6LfSdu6PUQZx2PA85KvTdepVdoW4iIdanY5G8OgFsqcWM80khfLNFck
zucifScnVZ9aRcyQ6D4lcwxr47sm4/gm8jW59VVV7gHBuYeyGvH1RMDOSWcKcypFOi9xZHx1Npgw
nXbQMUzjrOPo0rQqO+8oFIEljZbz2iIeNpFr3eU4D+MZCzjdj2VqPktNmnd0QujUDXN7Rohos1jN
Q3tbE1upU4+lO0lJqU88H9WKBNZTiBbInZjIj6dsRqcZH9My7qt+vlRTKk+ieQ5b0wAmcNyRa19B
QCxy11yXuG6HlZ0n+nNwlYqbUYubnE59lTBoM0JEtGN+5qdc3wxhsPusIRdDaKXbwDEsLjqum1vF
x77dcLnoZdURE+Ydn/MIdmEeaSiFRfFOFimE95kgv0tHRE9Uq+w+r42skuByxnYT0yGKZZB4k5eF
7JOe8l7E7tBdfKehL7VpnGrWevg4LK7fzzj7XKpqig3OTIJSQE6dHYo8HpSSEMGgGZxMMJ+rGli2
t7Vi6Qckh2KbTo35EBkzT4kpENwvM55fFJYMd7pprhru7EalyJ/yuSU7P/R3PTXZz3MkxcYat4JW
RrMFRGGv+so1J9HownmopwBlTD2etlEqX/cA5tYk+PRD2amoiKtl9m+gij1MbtDsvMhTEUs+RCae
dKTfDnkpTVySFiciV/IEK2xXeg5lEnpkL0S3FCe9qHlCGuiYjWJqTtpShi2tLL7AdZetVT2yz42z
UGKNZpbTmmFT8RiqgCnamgUK8gsodedPbVtwQIqZuqp71r2zaRtw7NOUrDrPSn1KCpOtWWXqlXSd
WAP+LG+KguefaA7RvqkbfdkPOohkGLpmWy49r6AOIHqdYlXmiVlauW51v8g4x2OadA7toA0QToPJ
8oTmk99MXTufqNJECe7ABVk5QSfFUR1XKZ2jRAVe+rhbyLAjcGpuNcFZtx5pze+mMerOOqh5Fyj3
FshzbdBvK4PTOs5kpC5VCr0WVJafy4bQvSs68i4VyifOwj+AJKER0WKS3mak4ndQ2UXDhvs0K+LR
EfIO8K28xiFr1m4ZoiTk2qTxHKV5tsmdaF0sQYLSJcz09FKmVm/7xuOTNJ3MmhE2rRdfR0m2pOrc
NaK5sNnobpwa7ymUN+NKNqU9r+ZOnjbNAYhTD41gDH03lU3sfG4yFKcc8mTbZtAkIXPeyphE3iXd
JIePBSDhXZYafw+t5nPhIsjjKdAHVxQ4h5OBFuE073KXfemP/ML1XH2BwF+oio+2nfsiy38RUv32
4z9fWwN/HxU8v//yoMP6/afzXwVcx3cdBvrttt/52gOL85sm6Iga+qLm+gPe6MWLT0ilJ/zZ19QQ
eZFO+pa+OzA0h+/8RiRxLYEboUJh8YUu+kIkKfUK2spQSkAbREIw5tBL+pVIEq8EgQYTNEcU9KGB
7PmdSMKvMONUISg+MIPuNPkzRNIRY8IEUJLwfCjosYCZHFiur/tKJiOzgGhb7JbSQhtgmsttllOZ
iKWptxmt2OblwumofXbQz1DEGQfySj320J6O10B6dqGB6ntO1QSZwqWvWcjNHuqh8nxWOTojdZ1+
p2d31Fl8HBQDYwackIL2LT4wH181zwgcqSFYlu18x6MzV1f5CjeCxhF8/M76jrr1h6EYCCw4VBMI
GlziiN9pQg9daUGK3Qxg70wvLFrlSLM4RVW16TFnceGh8fL4KVdofPOyeY+GB3iCD2QcQhDtgZFT
h+r4q5Xyii1jzVUPHM4wxGNt6MbbJboiuYvmuLP9Eiufs4uyUN19Q5X7Tpf8myYusKEUcwh7TAIW
ho39dALVGHg6COhTpsPBydVE3gwuKj5UoTArgEgQgtM+Z6ct6VZZ3Q3bzjTcQ9uSiCIJ3uFbKYZp
q/Aw/jzOtM5WLxvoaL+DgUD9AgdHM8JBYnnMphSWgxCzRt2uU/kQ16YJK8cnKOrqMK191kRXL4/3
DFFLDoQf5lIfCCx+dMCi3isf/OB20QLDxgwPBMewMqHW0PBjN7ntypsSCpoK5enaKOLTuBrkfDbZ
qvLf670eHT8FnAqijxEHiC3M9NFszCBtHw1ptQsECp4D56BtHCRxJx3Bcoqht1OehVbbn4uh/SSA
nN66USxrV8+sjIdU5Td0SdEHZklfxID2sj5paMHeZn5o9/2cT22ctRKHZPJYWeiHwoGzEF/OTNNF
e5OrsU5IVpNNGmx6LrFBH142+FFjRj4uURMGPfLHc3h8AoGzw5DgCrPj7ahwvDSdoysgDac3dS+q
xMp2Aia1K1E8D1hfQAun2nS1yc76gbltlXK/tyZ19wHz6ApI2vq25gP6MOlZ7ABd1bdlhdv3yvJ0
L91QfqK4BqSweHI3LJHO4gn6IyjpSKBvGbQe+tg1izsfTQjrLtP17cvL/bbdBboTCXphLChGUh3F
G2Cd0kpFeb1bhoVB+4BViZt5lLw8yvGpOfCwCA4LMDNCM0gaT0+14pWEVrytd7Lqs5+jHHZO6t0+
9At/UACy/1y8PrgQOCdorEEgA/71mOyQk+vypYfhqLHZeWWLE5jYlGg6he+Eg2fOAySGQ4qFLSMk
OerimYk0GXWu3o0hy85r3UxvoEVW3y5R5w4Yqb41OC9uXrbmcZA+LA+QAGABDEgUkSNrUtAJodo3
ZueZz+59OSq1llUHJ7HkFtNY5oK+nfXUvq+gA2vjnkffc+hRRny0MIdJSNAjawGZ4qlDo1HIMqCq
3fVWRquCIwv7ZmgKKKW5Sc9fXu8zu+dAIYNLtQBYf6xVCbQEdX8FFHIbyfqWFSNE2mKUWwtoI85r
7z++PB5+hrOmINjBBEIdbNtj6t5yVBadNnaHum5ZEhYk9+tcWu9i5m0wyRJVyxWWWbPKozLNVqlV
xRl0fKBtFPJClXsL3eXzBrQk99BsGu4N8LQMelIp3YyFiM5S5tv3L0/6WY8IIZiGyIzQceYmRlSC
5KrdzUXG4yoCZJLKujnVGetevzzUc5teKOheKxBLQZf8EFO+AglQS3SugyUBHOrTc0wcPh/cNJ5E
pFMnjFbNaU6D2L086DPro+AOAj0IjQSQ+k8HXUbWAUEQNbuJAt8kaZOez6MTu4an0dnLQz1zvg7C
gYPmTlNQDxzFRKCjunoB1mWX+jFvNkaU5Zmhi1pDf8hdDx7Pe0I9dN74YPnZCI3A72z459YKo2sG
2BqQmD7CmwNa5BhJ3+wMy4bYeFghnlugMwurL15e63NbXWDGFIgPQQ52DG0BoItDsDQ7BjnrZGqo
O3HAKhWxQgt9Cz0sWa6UXdxJ1H3Xpc/Y+SAYgj4eDA4792gfdaqqFz6CYKjoEPQVWFrc5N1MO+ig
1Ol5ucwQu4qRTHU891BExnUGaOvl5T+3leFVGC5BdMfxN65enEpDUCAQYjkSuwy4tP3oU7S2hQPm
NcI8rkn9PUz3jHshYnICCEMLJI+VICD8owga7+0uK5m+SKMAiE6SzuSrQqTl5uUVHoz4O8/0CGfg
dRIiEcBHIaFKe3puWqiQVDUqu+sAq10Upn8T3HdR6jODwLsPsFdBWKgIKAyeDmI07fligDTz2QTt
P9xGuoyjzFV/PrEfNFUQmkE5+a2YqHZLiNoINFWT6NjbCnhwF7ctmpJQ0ab9zt545mgQyKVQU4Fu
CUqSo0X1dqzCNPl+J2DFWwP0CllpBIh2Ecqc5sDmXqWgFiqSMRJ3f9ppoMAHacNhsRIiwFN7RiVA
AA/Mx66uRLTqA7uPSsh6Lw/yzN4HsamGzY+1/DaH6wh1ckLSAKvLYRsuABoWUKacZH4sNq7qxiIu
dPY98PJMMoezDkInWBmkquMCamH5lM91anaRb9jbppqjK7VM3WtFbQmySyD8X17loXFyfAAOuiuq
GWQPDXDwqS0zLrCpF9BdlZQaAXR7SLu4LKL8MxwG+eagxo3iQevxzdKq9EpDI9rFeWFDiDNedp9b
huvbsYR24apvZrmNWg+c3zzm95wVgP0r7keaACzIY686Tdc078LOdsS9BuDSvnt5Oc/EDtC8IJCR
Qe6F/s1RbqICOc8aUFQBYwVCjrYWdCWB9nnnSxwu//RYh8AIiYGAr6D2fGo5SaBbPpMKwK2IspXH
47JZ+sht9aEX8eeH0hQyEAZRMiD3o4w3o843oKqtd48dD1CTgIYgVdGKpXm5e3moQ+vraEM86sRA
Fsqh6AEU83RZpsgiEH6lcLimDCpqL+gI/QLRbnFfow+NJwtfsZ7b5dLXMySfYVbiE8qr+tZFY1Ml
0NUnV7MKyxkQ40CHLRMOa3BJkeQ2svcvz5aQb2d7EG4JUJAiCHriyAkdmx2QGtAQMWOTARlM27ta
1tFZCyoWF49Fkd0PKO9fg4QsG+MKp1Fie7JcZzLvLsuFZUmOkb8GVUOVGAm1iK2HsMqFdyfAv6nr
UTXTFhXjsOpTYU5HUQzfCdpQcD0NpQexA2gcQAfLQYjJwepH8ax0fagqAmIHZyMgFA5ihxTeQTIx
Au2RSf5A7QCc9RiS/3ulg50XAC4Tq6dpp9uaphugGyK1+UrgkDMFQpVntQ1VFclrVOXNyaO2YWZT
ep6FvsuTf1HT4KUGvmBmWTwspTxJdSVBW/SvaRpUm1LYmmUdHqRbbp7KGfIJx8Vc6SH5i7QMIKkJ
oOCIlmH7r8sYcj5Fn79RMPCi1q+LjqaX/3HxQjO68gZQc+2hKfM/RbvQWK/eCxb1/6J2wQgKgJyr
/69d+Au1CzzQ6K2a8/OXZQtLd51GkkCe/08rFzqQaT6IwaCkhO7ryiHgNHlD3jlEoUseNR2QEf3k
Fw3tBzSfVpKNIOPJWpB6WHhXJhFtJ9+kYzS8YxWUeVkjeFjzmTdmA/A57CZP5o9KTo1LlgnQTDWi
rl7LNghQ+JZDFnfZTC9nriBkc8Om6ybVyzt42QTveDORFfCFob0qQMkP6bKbontcgkq4RiRfl0Uw
b9s8VyCqr5qk60Ens2JhmVYNTYHsR+MIr6sEeL9nmzdFuU6nqNgxADMnXKfudcRz0EV2nFMOAhzS
XvGG5lEy5wEPcWVStsmQB+UidotsYj52odgAHtJnk9Fmg4ZlWBVZS1/zVsPbFuDnag/OI93GDm3Y
ZpUxnwQUK7cBXia4d83naTywvAurH6A3SdeykKfVeOYhQK50yfi1oxB8J3jjJsmXyCZ1jeRth40+
9X5QwOqLpoJZBBCo5bRL70QAFbJvy+ZktKE78S2LUiDh0fCzGM10Di+giITDy0W8z+qdmUAI2vwf
5s5kSVKc7dJXRBtIIGDTC8DxKTzmITM2WA6VAgkkITFffR/P7u+3ysjqSvs3bb0JK7OsCGeQXr3D
c44HVJbUBm2+pvGMebXt90COxjL2yLjbthD3GpGxWNrJK4OOhcd+Ha5UHHKI9xl6NJn3aM89NW5M
5afWE6KUMRkOQTh3O0A7psv6Yf0r8sx48ZY2PK7taj5HLMbQpB7FAzGR3bskvjIf0bzrYq/+voZq
ezWzaHdgXvcDIe3DGIevztYq8715LrZ5gRipJgtUFQALA5ePUuBOK5TXn8M2DC9jEvFTR4EUb1zO
Jlswbj5GK/XnzKCHK3Jvo8PZhLZ5Vp0KZGadJ28ARM53/cqsPo0DiE3wMn5UEL4AIFjqlj9soWhy
ake26wDiYHGmROCSIkjH5tgvK06XZ6u9ZF/VybRLIgyRYmJuPTAvaQasEZ1u1QzJ0xZrthZoaoKD
b5lJnut46R70UJk+N8Srm/08BMhOXUz/qn3Ly7Clzi/U2jcPLIjqou3qHhqMWvOsWlNzjCKpCzz9
9ib0vcOKccNXinbPEYynQCcjjKY9q+bUFvVk25tp3dz3GmhSnW8m4lvRhr3BDGRGeVbwuCG7Jd3G
vOOt+tF6Y3BrWB29TKmKwN6DH7iZ2oa2WWNICxBMT2PhRmbYTis2PkwcSMmWaH0kHd+yRTfkvKZJ
nHGMbm/NSq9Le9zOtsNtek6jPFoMCzLHAptVIf3iUAfkCSjrfPUcwAdoPWQxsxYKmj7qHn0ownZh
VBvMY02/nYFa/VXTFEg94MuzA8Bw0GJSX6aFY8HHvDDam47DkKZZmPTTDQeRnFNB27t+iEGVBP6a
J4sWhQnpVzHN9s230QKh2Bh8alziHYYqfg1MsOWJ7AkQq9YHPuzH9Ngs6ZKtupO5Uqk4sE3XOz7N
Q1GpyDs085oWQaDoTYUUgcyz7hAQUpZzRL9sisAsepjc5CtotSeM0bq94La+bIOAdGWKJlX28UTv
pKzpI5XzduuZdUb8Sgc0AuP00ZrKPVnM44ZckgWQfedjhOqvyRFrX7/V1HrFMNvqdRG9e/BmLWze
6FiX3fUROZDoh4iIsYgbZg+xnfmOyk8g9xDFFeHBcxjIDWn/ygDj+T4Kk4Cr5gKK7BjgIZ98t31J
amIz6oakJE76h0DpKa/mvq0zz/r2EXDmD+Z1+n3alD1PtX0bq8V+jm361UGZkK8xYmCA+DvLqCk6
G7xXfqTvKeLCTvFue4zl8OrNVVUK4jUP9bi1TWaAj+9534GJImrLg5HNxWgxhRwJCmubDt3FZy7d
hWzod1Xf2XOS8qisdZuWvJrzzgl7DIHpX1CE7EE8EZmBygnKrt/4m4We4rh29WNIu+cWiEoxucGc
NuWt+RJW6ial3XjdA0PRV+HXsZFXLnVhu5TgB0jZnepM87lRjJ1qkK8gqVh1EMmmi36rk50nnFcu
dm6zhXUpgsHidqRTV0rWXlYx2kzZ4RUyyyWTNBpPfuqbNfODKsmDoBEyC1iT+mVcVUUTeuxFrN2m
MuP1AoxXYEJstyDNneTpTo0eu4h2qPNg09N+6jxvvzXQc0RTF19EsnR3i4jMN6MU28dqeRp1FZWB
2PyyHpvubZz5tJ8Bee+Inp/7dCEY8pjotW0aebGczzsnZ3nhXpoWfnNoQrWeWt/4R9LO/q0dQf/U
Wo+HoOdJNnRJU/Secaet4/Tb3FC/HJhwOe9jgKVjsrxALZCCJ/dMHpuwPmHIO+5UTd+bNpqKhbYb
dGgzVnhQWbQE9MF2YstF1OBUDNoFWZLXqNt0HsxO2mjckbkP7xJN42NQt98C1wyvQ9WHB0T06VTZ
AW1DEchdOEb867xGImO9qjEHpfLVsXH8Yj2mH9KGNZ/IBBK+jyAx6hJ6HubKFVBbQQkRpdPJmwKV
HhqFXoIOoVZYDXV4d+0ms66e1A8IBpuCrmCrxLavR7SZG//gE1vfpqwGasVx6Ppe5e28euxPUNmo
rJ6qqYwD7Rd4ZW1eG88iBR+CLJ2TPcUzzXA4JEA0JiRKbsi9Rka7SEBhKhMCcHZZC29tbdnNUuTU
peZxkS0/mAaxcO6k3RlMx3MIcKqcoYYpRNvpC5MLBEh+Mnh52kCCHAx9D0kgtJKe5bSCanD0QZEJ
OV3Wtm/uYzYxAJqzLVdGN6xTdrIxxG5FSmd9FzRRcKeQAR48ZHXHRI5jvg6oiF3P+WOLminDB8zF
kCQ2w9gewplkSQ6t59CN902AoNL7WVJtN61uvvqrz27bPpweuk3cTgpw8uRt3yEvEnncyUvSqDQj
MyE/dA19Dqi99WGLo7Ykfs0+0Wb1zq3WG4TUyxg1mc/Gl2oi6qbH6KWoI3U7TNM7ZgImC53/pqSc
7rxRt8VYEy8jhgGv8/l8aAMHLQIZ5IOZNM5tNMEzfwi+hK2hc2arcDwFE2kgNuirvU+aGrt9kbs6
rNLXOSBi14rmm4zm7aaHKCLKtdjiPG4w/AinYd1DMt19n5BblQOohmNAjLifhdYFIYi5sY9kJbPQ
7w4AcPvwPZykn81d6wFLJN2L51x1ThxLSlmxNedrwDA8rMaMLHy9AzLyNeFmLcatCSCsquOvsjc6
B/MdHFKAqc9jBF5fdcwUwagBKg6doJALtjGOD7G9xyPeVgCFWMbDhr/oNL0J5LgcknjW+xla09s2
2dRLpwaFA0VXxWSoPM2Yhe8cW32Jp8We2VTtVz27YxrWbK/TyX4ZRj7sfLvc6rZfck9hcUdjah4Y
76Jvftu/knBWN5OCDqlZF5tvydKcQC1CcRW7uJCsIXO5MDfe2Eq7p1UOcw5JUjPncwu2OTNLI8+0
WmXOef1j8zFhGTsPYo+WQQS1Tt3Jr9BXzSZllnKgNSn9btkK0YmDDtS0Mwn6WAR+ARkfXZi3YpQH
uNVsPxZkpDfgYIPdvFUXr6HDE2WyLjFiAhYDHK5wQay/04rrnPaeQ3aAnQexTNRlMQYk9wJ4AIge
REdQw8u8j0JzGmXd3w58JmfAtu+ptH/VjYjL2Ab6MEd2Lf0t9ffpPHenZdIszFrDpr884FUq97ie
XkS61m8QWtrvUf9D2NjLokj7B1IpWxDFujwmW/eZ674pCGXjyU5zeJL9Mt1vZMURMjNIukiVukMl
gqTO2MDZ3u+CMF9QFCDf5LpE36565DOCV8W39tAMSjzhdF1yYlRVCC55Xhm56IzGoS5bPWAnSW9b
ZYYpFBJGLc17BWb3MPZDBXWNhP4PSDMea7CeaAxBYkiCk53Tai/bvn9FZzq+W9WSdlkt/BuoQvnN
rFuRA1jQaWmbXvpQF9h6LmtUGAFEhpWHczQyesnC1cppx3qNIVsUrmGbB9z6HBfUm7lwZO2RHWME
5wo9b5lFCfKs4aVQanSqj7GU9zV07ju4c4CQ3ZI2D1fZ5kJufenrTR7BDPk4OBLzunVgyzMkswvP
UeBJmpOWryUbLOjtKBiDNfNEHezGpnlEzwoTAQl9jFmRDsaxNEijF1ZQtgU591Vb4mPm2ypx1T4Q
zXi7VK2fk3oLd2DJ8wAkVs56eQHq/WVS2wiFVDMcFIQ/ZQAhQb+xHto+H9KKPh3PM02rA9jpeztr
C4WJRfpZE/PiT6HOe38h2VaNjbfTc7W8YTjS5F2ESlpDVvpjxqDri8bx+CC8ac1TZF+5bky9Dxin
lxHd60+KxfBV4Mi0adZ1RPxlOA/2cRW+p8Z0uzlVJBtBjh4DX7bH2AvOXEdvV8z9GHfOFE0/vugg
kOc2pNMh7SDojfpw23VpMnye2MiS/VrNw86EIeKvU2G0hwVF9NQukSxaOvZ7atrxsgBKO8EjYy1r
EtbvFKoymc22ToreTeZC2srtYmj5fpCkaW69qU/2qLSmgiHjO41YpWdkBlDLmzg9uJB7uR1YeILI
2EcOO9AXtBTSL3GiydnWzF2iaYnv05RjYDOnWIU6QR4+rhDBM4cti3KKlLxdhoetatj9slKZbTU6
OhG34zUXi85umUIkbZKOX+SkrL5aQ4QJcPaOPPkDbbzMXzn73mCq22TIX+y9IgsODLuimkHecKpG
7i44rOPcT6r43A/MNJkKvPgwEtkdlQffrSzuoUzpI1d92uJaH0HU+8dE8+A1gDSmlJucUmQS9YjQ
Om0okUG6vNsKhKFozFAGfrrsmnjoNODTOYT2NhZvcF+wMAoI+1s+WuTcrZg3ni+IZDpLNw9yhpRL
yHdhItDA1HDF37YMcHyxAgS/MEzBCrq1y7ehFh42T93u5RpA4Vvpbb7bPM8+6EqSc1sp8ywCLpFN
qBW14CTNrq/ZdJZs9gWo+mGUBcQPcZxtMgi+z01rbwSfu69+xyAWrdki7qe1Vir3N6hhbrpBIQlI
ei1uXDJg2i/7MamLeGnIW9hM/Q83SjvkazCpMxEJDuZFxImXeYpU92puRhy9qLhv/BF04MXGyiOw
qIkYpLl+/H2FyOhmQ1z8wVfNkzPyMHYIaIhzdfEC+LuMaTD5cLyx6myYitApcl7/7PE6fE3bbvjm
Q6MKpVPFRYIYhhnpjFD1Pjp4rmzdhMsdhdfc8BG8l4Rr42ubyv5HCOe0d7zkOHOkgRJxJl6YQWth
TIEJJU/ylA3tmDnqAQMCXJiUDiUdtIiSHKqakifTWne71j7tcDI2q8o40eGldh1mVbM/QPwKs5Oe
FjVEHVmV8uVFbQmAyV534HTDn9dFqynKnRG+KJFg9p/dukRp1sgJP82AiDerBXcCb7w7CrzkEo21
RXskravDusTLi65I6+8h6khPwm5bD5HxKPsLV7FPIdpdGvckzAxgovI538cdxqQNPHLc0ySMDMqw
E2HZCU/VxaRp+0R9xeWxTaq6yYcpsRTqO2ubfIMwCPqhNERng2DXV6OgtnAOQyEcCDWgyW4Fz5ZC
ZHGOZ9c+9YmATxFk1tFuiEc8ELc6PNIAuBFH+m+CsMQqFdDyBD0yi85hdCsdJl6Z4ehu5FW8tU9o
afBPkBCigk49E5ZjMPvv2kHaBO2fKNNOtK/wGJggnY+gqG09PewrtQ7f3DwOt8G6rCcWibGBYUaf
3qIhiz8vHUAd6DC8IhlSrFNU9NVl0ViYOQB9gHjpaD4zhcwkFYJfYrC5ZdVP4pBUDGNcFa/8a+Bx
cROtAkzDBCZ42lmGxlMuahRIO4mm5ZQbP4VPCvwN9BM8PhaRN06uXTHAvkZnvIowp3QJ/tPSqrkZ
Iet7RUegaXLbGItg0brli06j/llAKf5NTBWJ0aKj3hePAMuMNO2f0dX0UNytGq40iaRxBsJ5frE+
tW99ioaFDFTyipqB3caUL1vWyvSiLUN+0LeO4ZBXHlRGDvEKY1Pk4xW5UhOt4WMpagFazEUk9xcP
eeWAQHqLfTB0+YLmrMyhUQfDSIOVu4KYCsLHkSaU78d49j+ZVjZJ3g4gANHBwsqykwhfEwgLFdTv
FC+iFxEEldZv8TKlMOepAZ5LV+uqRxAWOHfRDO7uGtCtRT8l9SVt0/Y+HVTVlkGFvmrmLdj0G943
GqBQau1AMKz1CYBY9Er7DosAkpzPLRnYd0ZrcVMbTtCGXGeEB38A9Th4IRRVLSpzBYVrI1boI31s
nlZfORVhtnAsojZKn+vaw5KPU6xAz/R4CWqE6rV04QjaahIR9MEKjiqvfEqD7oAe1fziJY04+AAc
7qBKbJ8gBh/zdsbCxbFQXeqYtU9rFPfPMk1qd2oiF39HsTN3BVw/sDfgDoyoxOnmAVL1NDKzATjd
Hnk0F6UOK6LzDX3ET+26EeRZ2hB3hCKlfsRR1LMisbISR7aO4mCTmNsbjv3R5TPEme91i6Utoby9
VRK7c420LLVpEXXlyj9BWYvHGQdkVXezS1YkHTXfdj7UrqL8ObgeAaD9MD7XZKerCeGeGYol3Ivr
/h4MCp3b5Ip5q9XJ8gqzRCiylSK7QM6I9/gQ/NF0nd9amqItPKfEPg10nSGjrcRQimtkVjgAynSD
3Y0fVTxPlTaPqlELVK/BsOyQ1OMEkgz/jI6zvydCrRfmJxbPANzvvYP2KnqXrW0blJA1QxMVffVr
hwovCR7Uw16rGsWQ7TqW5CsRrL2rB/hK9UOvj75n9DHVnn8athrvAoecYTleMJrcsXW0jBb8LGCA
gNg++01110YMMbLZKOJcVGkEEb/36CtKSn/fCtMXEffqR4v1fdcvsrrMkKfshjqaDh4PIPRdkFPn
nd7wkFaI64ZzPGm3Qg+m0GlVXlJ5p7Xz2zXTGguOTBEN82kV054QCMYLGOQg2fbRJd3XGNfcQOy9
JZmgEpFEwbROQO3dAm8exv55MQH2orIsvZvMNBV4DuxQ9amXS9rZvpittpiIuOikMU/gGU2AFZHA
RM8hVvdeOq/jyMt09KXFgYIsOdj6g+HzRXTWTTc19CBpNjBAxioE/YfkQRzSRUDELSCQFzzCUpm8
YMlNgsnHrEA4Zn69zi+hPzDkjRaHVJRQ8I10bZ+QaHmw20k4Fu8gUuira5OQGvZcLQ5MZIfkjDJ+
vFv7achmU4dLVjsHjF8swT16VHcjzEGyRPlBxhTOBg9+GAdrFu80jrM7oTWBu4lqWrkcrXHvsLQ9
UsAunhDjPeVg9lQNEewefjIi/88kc39XzP3P/V/6anPo/v/R1f3iG/p3XV1wFS0AOgQS818W6b+5
Nf7H0Pz/8ov/R2MX/A+46V094sIQoArY2/+YNcLwFgBUANoeuFMU/PyX/2jsKNxVg5imgDnjOAYy
/HeNHbwuoNsBqQyVGn73v6Ox+0k//Y3hvIrsYjSgALBdPabhbvUrsYQGfiXaZJWHZGgOrkF7RMkF
U4fNv1DFzp2VqPoXtAjVU2JhcENnAgVJNL5qv/8DGx1+hHYhgCKA43H2wYQygkbr12uhLl6x8Tdz
gDwozmI0OBG+qkcN24+M8bDdGQJBPY7K4YWl01aG1byW3QTHhhDDzu+OvlcaBQIN62MACeptWltb
DuuYFqx1zR6DsiQb0ZAsIXB3dy5tv0LZ/RcdVXwzbTCo0sPc7TvC/Wun8WR0OJ18sog9xsr6W5sO
EzoYHJ5PMkluWb1+qjuRZt3WuPukTtdbmL+5QmwmRXo+wBkswMiihoagwDBcA/Drli9sQYPR1pDb
oZrO/7b27v/3O/u77+ZH9uz69OABB4cZGL3Hv8n7RBfHOGuX/oBhGIU9iPgW8CYpjDUF+nPhWfTN
93//xOv7+NvaSfCJsLRMr/JROPDR34DB/7K0XPz+m3BNd4r6dP0DvvebYuLnp8AHCG0DwNy/UcaA
90JPUFBqnq7OrmdwoYzhNtH4EVyuoGBuHV4rLCJ6RF+YwGV4Kyc0ZcTN2m8H1TQlnLB4gc5mvINB
JTxGjFeMy2r/gKL9w+KFeg8xGn47DI50H1jQhQcMQAHUe2Smt1aPFGZHg8rDqSoqgsuaEtac2tWd
STr3539/EfSf3gSBsDO6AtJXJemvO2cJthkmUrI/tPW05IlD46i21HtCNQPnpW15sEBQdsk6oFm2
gRr/jn1ln8eqWc6bMuF5dW2YSV3PX8IggOnMUCyVmyEKMPPt1IEL6GP8D9QOMeaq6f2MSV6hNDF7
ZyP7jscSIzeFoQFIwDfu6txfMf+Kp5WXAdXhExNT9GYUmrj/ft+/8ZbXtUEQAyHHwvgdaqlf73vc
tm3UjcaIE/3EpVFvddN9jqXfZbBy/WrGBa25BbiJH9kHYMf9zh/sd1J7N3CR0vnAMBaxFHYTMXxx
7tEvDf9wgeQaPj9skSsZDG0lpBaYFH0Ir7AodH0gnDlQJMjYHsEdnKZIvrX6sYqlt7cwAdiDLC6E
cdNp0gqT93rdsXqc90HoKOqZ/ikgPs9HuzRl5TqRL5vz0Z5N5R1sWvEnwmSBC8ryh2gc/8OCBiee
YHNjUH3Vgv/6bLsowOgirUD3k/QIV0TQnhP/BqcAFNc++tP2esWALO46PpLdBg+MfOBxl5txY0jC
CQcdMwU8MwmbCioUK3C1SYFj0MP8P/3qGZIUrgXWQ2fDP9M2vmn8echn+BnlvbLTEfMsdbvR9NlT
ts+7vnuqN1bXmIuCEBmo38LKwSKxhUkNfVg6GRYDR51mGvXJh4psF/uw0cs2F1w99ep75sMBQS/B
nGs2rjcgt/kjFKc278U85w4yoCzoFMu7xSyoACSOgaEHfh3AtonZ0Jagge4qLuuLjiUmPKT/ga5C
WkDZ8aVdGZr9SdiXCl/EIu8MR+kph8TlGFjxE2R+2G1oi+EUMEc+gVaKKBq0kU22e0PhI8cmTH+Q
jwyPPOA4byPq/fcDVIg3+VNanIRQ1v/6PqPOwBoWfbXDyH3YndyoiHk5YnuMCaa+oXI9Ez29eYz8
0Yb5H06mMITWLWYQckD29mElVfCMqTFnNAdMLL7Goi/Rpvk2QEZW4EEA88HG2UHb9iY22qOJoTn0
sd68tzABARAyHKkZST5Pcv2EzlbNsxZJyb8Hkp+yzY/7FNd4FX6A5//tkElloOONduYQwwoxM1Dz
3PRotOUR7zGeBmX14GCjBUuTqM+BnpSrRSYSNXbJoWY7EarGEkcKL8JtexBOv6JWasqB9OmRoFU9
W/EZgMT4Bz3x1YTht+gSRVDVE1gWJPj56ys19RyvMHCC8+YGhy0UNcmuggNkYUESwqXVr2+UTrxv
PIWr4czstutFs10w0JNg4RQGfDNm5mVEeocR2mZ2EBM/NGAkFsOPFRxhnjYeHu346OAmmy89+Jxo
Q+nZQWCL1IzOu6qp9qxbglwoDMFr7j0SHt+l2/wW8j7Iu67q96Mv7pN1/oLvTNr9DH5URD36m+lY
EoquMOSLAxpMsFzgKTphcB8M91PaDDaHQ9QRbsbwFRThpffRAUasOkLCt+TDJj7zDe0iL75jaDg/
//t6CD8qO3CwILEBmkZ8CPXYxyXbSbMGEDvqQ0Lh+kK3SyXW52CR/BYut1FRtYHOYj/cDTPhuQPL
laMXjgDQYQA/Amuo2rnE9MIvwlp6mKMma8Z8C0INgV+Rq0OVUZ9RFE4AAtYo//kp3mzhXcjh/kLw
lyIKQs+D9Duayc3asFftuH79+ZyVsaSYiX0J2Mq+w0cwh5ZGZYBdMN4BgwYnmerqC4SpmnXG7f79
2ZB/WHURjByQqCPqg77/kOn4Jp0cpJv60DD3AP/Rc2AUxuZzPxRzGH7C9vLuNJLBkMOFbKqXqGgn
v9kRtGiKBR4wRSCq4EKb8U71puwr/iVu61sZWXRYLFaWbWElGFzZG6V7mcfQmOFQMXdi8cfv/34v
/5RAQKMHNT6aLegJfhQb11ZPyWwShCYv+EoXPTz69RacQn9zIFW9Z4vG4TdXz2j2wBwor3v7jn2E
Cr692vRAOswyJnhbzIi3x2ZFyyMdGjRx/v0yfzMOuD5mlKNXvQzETVBr/LrR4X5FR1qnBt5/YFOX
2l5t2gjdw8a5A1lWnUeVwPE35eyRNfRJ4wTLNkCozCVNvozLjC3kpS+DaV6GmcdFZKW636rBK6NJ
kD0sewHbyNHfXYvYrKcd0jsOL0Pqr4+9xm97/Yb5qveofTrlbAr58d/vMLgq3v4egCM44qPjhfoY
loq/ZxsGuugamW178Lk7Dlj7gCbPCY+fvT7+a5Hd3i3qTbThrReNf8iefxrJfPxsZDpXrX3soyH1
IYxOmN67+mpU0Pn+sUb2IfweSwDxMYK9IfHtZwlmVfrqJBDNsw4Tfavon46g6zv8eBXQBKOcgmkC
pHkfzmdD16qBJ5c+rFdel6gFszqfZM22LkWMQcAJu/HSsxpeDbJpS9igIusDVCci2KXBfbEQC+Xn
wR/A8y4tOzbKpCX0hH6hQZqKitxu/tV7D76sBqRx0crg9O8v8R/0cNfqh+DysVSj3yxeUBbAPGSB
t5MnuL8bKpq+zQj0mRe162nG5V1iF+qsbYwqPMf9l8Hq7UsHC/IMbqxgDkz45ngtdnZbkiySeAbJ
1Ec7z3df0VIHpIKRco5W+HQL0MQdRIjX8Yd7+BjdsBBTfFdKjJUeXnfch9cAg5jKWR2pA/wraJ4C
ivvqse0B5Olu7hqcjZs+9cvMynlgVcmD5RAACy0xDFEv3ETIOkedezKdcrgjLjDS3VLQ1y34nQB3
iKnNN1MhvldogRY9C0Ch0t26yaXw1Z/Kwo/NHTQDIPSmEL0hcYSa/qMgsvM9X8ILTx2Ua3cYRAw3
ZKyiO+eNiKiJaiBXCu/gEHiAy2ePpgcBng/L1KxvGwI76v4Pm/ynZcWHJQ51JnpX18ZWAnn2r2EM
X0cCIDzo1QF2h/t47jmghbg+4gsR/WwJ2u8hUwc0ZJsyGeG7GqmtLS2VIJ7D7ak2dJfq4eX61QeZ
q9vjDH38tpWAXO5rqM8y1JdAtrrVK2t4qmU2ETga5f7fl8fPLPnjLaSwpkC1GWNC9FHhZ4nbgNQs
7QGgE4FT6gAwh8B0OJ0qMH82ge1kV2OOzofTWvU/JvC+Hl5BhlZwWCwpe0DFQT81gT02ImGv4wIw
CMy9urRNN5/A2F9JaNqctRLujsnxzLwRVKc3lUvU7mni3feIATgPa2jndd4AxYXGXPwhJIbJ9VX8
ep/ofqJwxfqBU0DCPiiUNcgvDGxqeQCuXedxz17hjtVnGGGQPVkGWM1s3cxz1Qvy4jwOqyIub/At
G+FXsMfroQUUe0ubfkCvuzXwSDE1gJkYE08qgDDrBK61w1Zyr7GflIQ76GQFGPiWfxMbSz8Hficx
huThPRMqzmHSetVlc7EDG+Tg/9eRQ99F6x5jrgDurXK3efyWzQmScwkuOWDtQ2cXfevZ2t1sxJ2H
xakbWU3+AeoOePiuATmRcfLuuTJfMBrHOsKZiHrIRLLLE5t8jke7i2DSC8fWBSjOsAY7aCH3o5jf
Ca++kpYghDp0EYAAbkU0ztBAYoBVKgoYFp2KZgdBRFVoSXsgHOLQmIjtBpJUrzqJkgtLQRgwmHnW
C2nLluC7Peth83LYPqw5PGH7fTNEQ5aIhr7YQH2iwlfF5mx/28U+5ulhuoPB/LPsrwbxA2Dmfr2F
Y29bLi2fUPO2c0EssNIUQ0R4uPPuXVF5VmOY3iD4NzOS9YWSLBXBzjBkXhC2IAuvBcw0hw6sUORR
+h42y+dQ/C/2zmS5bmW7tv/iPhwAEmXDHeya5GYpUiQ7CJGiUNfIRPH1b4Dn2lfa4hV9/BruOM6J
UEMiUSUSmWvNOWb6OuDtRAcwbU0XDAxUqkZcaE31Wrfiq1Yaco1oRqyaybG+dEraxwVMEBha7q2q
SZTPJUv/VRmhaEZ5IIHJm4tsXtKVNdjN9whNtuR7xIGNAG+TeVGxaXtrB3B1XM0yH9eICx5bwMM3
3ajfkfpx3fbZgR32NoMYv6q72Q6cPPs2YDPeuWqed4vhm2whlJVxk+SBmZBIo2hTUqSS6jDIKl0N
HT0Ws0l/FL3l3Loy1ddaHndbS7XVetJdta1MWx1bmQ+7zNfcM9V6l+Aiv1ieeDRi3VjN7LFXZoHK
hOVhcqH3sR9MIjLe5UeBO3J+YavRghNuT6vUukGzvizS2V+GYXtLEXxL4gbfCgDrAez4rTClv8uj
ZRaz3S6oGvlj0kD6hn2u9gPeqcVIXyJx7x/J14gOeTVRhSl5DYbKyy94qDgUkHMdHZs11CgtnRQU
8dDRekbe4SBtH5ZbBQ4rWeVUKp9zNYltotJp005Fw9Rvl0jGdPPYRAUi21nwegzCwrLulhIbRuUy
affWZV+2SBsG039OGBRcW2ZdyoJYEwdkwdaaxmYVc/03XZX5NLnmck+jED0q0Q+XMvbLvZna+TN0
K2vbRpY8dOx6bpqulpsBftONm9BbDbWYSIJ8Wrd+/ez2wkQr96NIGJkEESGKQO+p+82TNBq54ZTT
XYpS+Sl3o7OZbgFAnRtKxsxKmbqZ+/loWep+TAsHjl/OK9uE52GUa3g7WuTOWTTdzVYz0Xeg6hSZ
oXXAMlKfUbpz1rrHgwRx3sDjSV7ywldrs2nrwC882go+5mgvOXeUytZRVIFGLYTPr63h5SatRBvW
2EEHWeJH3cnwOfOz7rEmkueIGIu1C0LcIeiaMaSoleoAq628WHvAffaVqud1O3nHpDcwgNnnoUaY
RuHkm9D27xyevDNG+WsZTtZZTAlzlUcyP6gorbaNJ9vLyShGHFYEU7i9ukbfhRRML80LqzHcfTbJ
7loKTbzinD7AcCq5WwJN9sAGxmEDtBoaLCtzyjgyK8dHz9bEcEgnh5muzsMXV+/EN3Rf7X1XF6Tu
5Jq5typ7vuoKyQal8Wf3PEKj0QX+GD9IPtcr3mbxPUscH3chPJIVDOz21bGK7IvRpOO5M+fW2s7S
HDNazPTT4mjpet3dmkl0ifDvOTetcm81Qt4ieWx3vCL5lzLJnD1mulWnOu9Rm7FPMCCr7Zh28yGW
Iz2svJxqfGOWe6uUox0jT4l1Y5DqQD+OeKIaKH3vViOGILwgSTTfDrPXQQAPnYeM6sdaH6bmPrPz
+CBbU3sNJ1e91dMkD7nI2svOaghL0PO8HQPNyrUgJPRja8MERyEsrxNHIHnvPRd6O2LmwEU7safz
46wyVDr4QrDFFUEFR+miMKbpecDIECSeaLaiEHRTKKjtqgrd0GhNZ4XtVKvOb8rvuOWm1cxnZ0Or
PaV0poajmWbWhspwd0zKLlyhRAwDePjiJWOlvnS5H6uxixbbSXpZov/dVNbUn5vdeIYvwN3ENp9w
vx7ze2x1TmAkvObKtuK7yejQqc3uVams/ULHP+T5lK7yFvMfjOFwS4es27AowwE/2RCcsXhVTnRn
QrG8mUJKvEmIR15rdAa2JrQjs/+uz7vm3E8jNJGIMwRuK3dWB61r56+MKX+Fz4fHEuYuNqMwejAb
e7oPe1kcGHJLDUpdLItlf0Thlth86SKkoRuRN+G9Czn3GrUDE9441G3g5iYOxCke9lPNiGILlV0p
TVyngK7Xo2P1K8MUqMPLTOwjvy63kxqtXSOH+rwoUdIYyJmQPLnegkjPg7Yw+0NoWsUWgK/AzFI3
yXEewvqTzaD10fJLwHHWaRtY4N9OtqR9nDRGAV1nn7D3vVDSD1rNCAMbiVtQyMLaV2YBQt6vcFMM
ngAV7ddgBZ0UU205z5dzyPAKM936iu6MvUcU36Lvtw+sMvvH0JXDNkXOX27iIZmgJvfWOpyn9rWv
Z/tHmEr0+1qmV4GDAvXW7Eo5MlZl9dj5s7OWqTOjWBDN9ZSGzr7GJIc9EbLyFtz+ZdHHYJYjbQ9w
Ylwz+78BtkSCQnxU8Oe1+IKnOF2i0hx3KNvAfQC88etuApdtOzcziH3TtKdA8KProcqqTT1O+SeH
Mk6bIUBxKARSYqUHaYGcOHkes1SNcoux2LsaVtASaNTBappv/ZDFK3Db0zbPo+HWz53tHCEH8xWa
r6ip9aAd+bJqxbCPsv5ASQFxlpjvdFeb8E+TMKIhX/pkj8Le7oM741G1XDgu1J9PK3ROW3SeUChT
WO+NawPC5MHFQLMBdI1YPhGPtkihrYP4RzjL0pSElg1GWYTuhadtrGr5tOnNxpBdieC6YIhllJ9W
4Ms7GcSlSq6NyIA2PWfJVY+G7JBNrXasvPqtga4bZHU48JeJdhXx3b3QXDrwSurTj7DV03Nlw9hD
2brrmA6JCstr+yufBDYJYpwo/QKGkSuvjsJv5jw6Z9IqEgbWIjOnbHiuy6c6qTzcZ3Rw8Ql812ds
TEYaW/TVmZ2Yk9KL1kjP5wUEZOjdI8Xwc/wQ3rrSde+orK75QkZBN/EyJSxKUjPfSByYO/b8/doX
ubys8zlRgTenoMqMEF2lPZfX0ZQA+DdSpg+3PUNJaFy7Vp7uhqE+q6iebzAvDogTKHdObvaSFHnz
WkTVVZzExppop9eqHM8jbMA75DuXmGcPhoHmTdhDt0crtcvSOWLSIsSp6aruop70Kx0Gx5Hp9nud
DOLG8vpoXaF/RPIQjwRD1iZSBDd8FY6R7GA6TcekrtUxxarGCrIlSkJDIZ9TmMZ/G853mt2p87lf
2t9aJYLQEfRDxZiu+ZxFWIFsvBba+K2IIub3zj8oQDao/LEQS/bTYyvw7ZriLRIaIQb5PYQne5t7
S3CVi129kpHAGjrYN1IiTCziyNgTSISKX444MaqyXYWCgVAjd9mR0aHhGYmQwIop2bSp8ZYmefE2
k/F4bmF+uOC7Pa/Y0MzrwiHsK2aor33mKbDl3oWtMIi0WS6C0R7YBAtaA3+eW95rfqeTC8l+lIWh
WVu/wadjfS7jOALVGhlWdusNtvVILJjOstiyJfmbVpad18RZNeVY7JwoekkFagPFChorXrzPYNdf
x7N5ifnEWEd0aZDw4mis2/5MqKzZ2mE/7zAflmciy55pfi7tUj3lNreYrSMyJAw/39VtM176ABCC
yh49xARRG0yOE5iA5UhxgFEsprTid2e1e+Pqk8EqJfcumRfFKkzVfIn7LoXsPiRHoxoYS7XYzWYD
Ppvi/L4JZUZuQ/sJ9++DWi7gV8r8dNI8g2rPSYgaHQtIImWf72uD7UtdDfUttZQaHJ2/Jg62Y0E2
pvUq8/rHOmyPS+Xgz0/vN7LxMl37PuhylBhiUaf8+mko+6hTrkYdFSfgGgvz10qqNkiqL04ybeI5
ftTEF4ecTDvBOWV+cvQPvhWGLohl4oPBObz3Gn9iWPaFhL9fmvmecmAGNqke1w2nu6Jcp/adZm3n
zqnWTlF2m0Jl8ycyoN/0Mlw7h/dIffYdAWb05FOlkQtSlT6HHyEIbOJCf+iKMVkZtXlnpvWXcn4t
emYIZEtbK1kTgrOiiLDC6OUF73Io18QQXzpvUli7urfEZ5/SDz5OBjYC8HNoChDGLUufn24PKhBd
r1l471uSRGRPOcTBkJtma0sqdPXgKAAQvLoNH0cD78QXJ52xQ1jui5RYzDz3Bd329s/j5bRB/X7L
7KX4vmia6FL/ekqozIax8EqGi8gfozB8UKQRURvpWL0L/Z4YtfaT+eW3xtPpIU/ekcrGMWyw1997
k/bFIhlqm9fj2zxG39HO6wgDyutkzL8Uyg6pRFjWuvWMm5FgIcwMl6mZ9tf1sDgz3D492LHTbP58
R37rOC3nZ1DG5y1i52cYJ02+tmkakks8AG1trQICG6y7qZe3MeOq6hv3MEXgNbIxvx7oM6NTTW9m
ryyerMggCKhytJtsgJXfmYiukV/jCXXmEDWWToLhkiuDX8BbzRBAA0Tk9qFt0+5Wlr7HFmNGqdej
nCKwCj1smI0r4STpzkmdz4QJHxRzuUgm+GWWN1lFnlykwoqYlwa047aIL4QDy8ArHYpueU39wb5O
6WKyCbbidRp6zbqqWMqN1JFwxRFO5eW+uUs0+80HE3Gb4TQ8K4V1W3aipOpvpSsrB3JhZ1ltB7pr
zSudbTd9gj7aIA9Mt3Ej9wJBdxmIupWHzLTXYL7nh04Wl3Ffffba/d5eWpSVNAGWgGe0pSevHfsF
HfVnSqez6Ys1EzPVqkpaX+1G668WiaeCNvciXDQXo12S2eJSg2qlb+8MxFO2ckmQZPn25c/j7KM3
jy67B0NRIBE5LTPHRRcZieHWe2X5DzO5Zf3kjPdhAxWEsjp5lBlWyT8f8r3LcPJph3WnC9T5OpkE
pxNQzN4oxRJc72M7pZnWmGXQ2PW8Y/eibacpHC/eRQdxX9JqzbpsM2CF2ovQQkvkff5gPpoPaXnS
Une5E87pNkbpY5K2AlQtUmHyCL15paLxOy4gEaha6rc4ZbbUJLIHIwfXoGKa40PaPLUwfGcPcmeV
6GGQ5E38yYj56NG4qOt4KkhtXXMZUD/N02EnjKIY4Neib9ovgsYNZOpw61doSfthQnRL3emzZ/N7
G1ggeXYsmoe+/zs0lz28kU0l1f4a+DWyPOGf4Wy7Mea+3TFQWWXn2pFS/Y3pNpGzej+PPw+P5fN4
OjroeCwoeY9wtNPRMY5z3Op4nvZUNWO8Npik8RBcvveURCioy8qkBKVk/v1vkMlKExWnYyDgPVUi
jEiQMrbp9b7SMntlhWq4quja9a0/r8LCkVeJMj455EcLNZIIrKXzbeMdPJUVkMBDwGuL4JolKbPu
wF4/BRJRY7ZeId3Z0r3qsWwM1qpp2U9oevrJ8/5gjCFmWOKKmZJM+pS/jrFxrHPPiGqCzCd7K5vp
KWHYrRyZYAbOblCElLu//XSh/CKURd8DMfK01a/xHaiEBeU3y6lDhbiE9iBtUOc2g35gv0UUVyov
PldTfvCSL1DQRc/vIXA4FVOarVUQaEjnk00/IJvCzw/Iki3e8LH9ZPm5fLROBjDv0LL+RRrmc1d/
vaeEh8F1cXI6qXpOgJtnH8sZ90xk2+wJBrpaf76j1gfPUFAdXgQUFvWz00EkBja4qikJdPKFCsDa
GAdjLJ0vQs7FLR769DJULnacJL3ytP5Vg0USWE6jBSjtnmGqBel0WRjOjJfbh7muJ7u294YbfPxy
k1e1fuFLdjxq9tSX2sLmk1Wev7L7cd4mM3QQG97F1nEGJ0AheGB6bTZKlK9jHJd3ZTqfD/b4bWwL
y2Rzyoa+xRIbGLTAtnptDyxwG+z1fWGu9Qp3Q6XGfZUM1WtnV+NuiYC8o7f8WWL24iI5fUQwBTAr
47jAyHG6QxgGwF0DoJY9esmIJW961TnROuUFt5YbspT6DTAbw1w91bV3MPvvXrjoJnQiw3MCvIgy
/Mey/G8Zff5l8NUvLh7is/j/1MPzyz/5l7/ofy9B6187fZYqGSElP43634w+59R2SzjbbyUJPNOS
oYVk7B8/9ZfLBy8PO1503jqvuYBTznp+eOv6//g3krRslzR2AlDe38X/dPhY/74E/Rg+7yimF2Dg
Pzt8HNtEusF86Cx7JPfvOHxOXk8O4TDIkI9hM6JhIE6mAyz2aPcN9Cy5EZm3uefB4LMQ22mBP+WZ
u0NF2R7qXjnTJxPDRwdm981XnIuBKb38/U/rBxJcE08bZLnXjWTGTZ+j5F7hTIjl5SDt+dCozjni
sx/+3vz3fsEePGCEZLrl2u/F0Z+Oq/mzP7Ue0k3UcOUOOHB4Zg/CJtyhss/jstJefhoK13/NrD/7
blgy/vo6L8FaZG+6/EEjAAvIyZVSXbH60SOYUBma84YPAIbSpI/qqJsFEYmdodRxpFH7Dc1+G64Q
ehV0ipw22ZmY6b/BShpe8xw4ZWBMaXsBYqy8q0VknSVNMt22VgZ6royMdgEptT6ddxzza2Kq661I
BjIXiUquiA+RmvXNz+OkJnpPDzHPTnDeqEZ4ay+t6rehkAgT9OWX/RUT6Ch8mHgH0+SybEZ7Dx5w
Bkw+z3FN8zf3L3wksEvu00QdOwNRtifvlsnbI/exQek8RAhxLGe8VXrh77D/DI9OI7vvnu2Ot9mo
+w8pakaSCCZuAs35HIc+bOEo6IRQuxLZ1IEgGdozYwIyS+D3bza+DwwQdJ7n3lRuLq9hOZXlJuoF
0eyzToyoXkybAgjQdwKxbISjaUz7MTLU0Qirdl8VltpphVNs4Aa5PdiBUBz4IhYDCAnfw3JJds11
gh1EnWGMqrNNQXy9AEhVcB/rzBqCCTLKBnN1HiNFYMHZabO31UhlxEBLy/Sm92vzSz6n3EZMRhk9
IC20vo0dyQvIqzt/52olOldssee+XTjRCv6Ff2HGI/fWzPSchMeeHAObuPiHpjGq86Iaq3N96tNn
clvTGWWwUT+hDItz0DcDd8MLverKoyKu9kYtc2AZPkNF9tzwlRjAE6zQr1QHQ8jiZmiM+KnLYCVt
Pcsozzx7xEHNALnqQhcClgPTLgwaHR11Oi/AxQGYn7g1Zd19pzvXXCRUHUz0PolxiT8bJ0qR2tn1
gGzyrIS1Y2+JIE12ht+ZFOkLRVseHN3CLMFhuI7hl18atI7TVS0XYgc2G4WMufdz6ushopsgnIf+
Pm0H8yvgiLbbhbCz0xVERGqftJ8xKyMch22BETf1d5ERW2czTTZoAHOtvyg/BJImZr0+UzSjqXPL
5RaDzpzMQIs96a30Qgcw6EctjwZRZ+huNDLDrqTqi8fMnrzbzGr9XTiULoT7CG6X4RcofvRc3qDc
MpNzmdfJLoOEj5WlMIofVFfUTloed4+PcnUgaRNbMuUMzMQa96JOMka2ivv6yYxlvfUSHiqswOSy
AEuxoBT7/n7U6ghrZaOKmyQeGO4t+hcADEYSf/OJrT8ThR9fuuNQnZvhQCaql7V7eLz0J90WX7Gs
zfSZnJT+3piUcYlHxL8K4za313Ycj68K6fLBdQj7nENXf+kdyktrakeaszY7YZ+7mU1/pZXdq2L0
BRBoGCpRON46FWk7q7CxedGXvFK8+vBKD0aek/BLwFgy7qooHkgbrjT4kSjfwjuvH912pegSXaZs
VaAHIJAY+vlGr/FawSi1zC9hTShtqcGxDQxg3vcsH7VXoOXFRb8IRSJNWpdNZHBLI946TN/0m422
bb/G74IT00+im9jQq5cM2fwmXTQqCinlmWhQ8Qw4WHZJDRyT+sHjvHySV3FjYvEeJB0jVK7mhriT
aqPS5h4tH1m/UrO/yHqYH8QsURpxU/zbDr/p3sjdaeRpVHS9vTA882JrJ3HAsgxs6ousM97sMc1v
/SQE4Uni8E4hWbxOUsjHRYtIXA/d6aEhcveqZNG9gQGlvg9NK9DztXuoZO5L03UwSEMXeqwZRXBV
aj3GH1WHV4IIwh2pZsQus5zfh1Bm1mMVm6uYFEqAHE16jgrfeZ7KwuZrbZDiJlESzmRgAjh2r1Pb
eGyU+BK3fftE/SmmMVLdhY2pzqrUfoNKp62NRqeBnc89GuKleV6oOqGqydZ+p6l8onXg5mKnNLPf
uhOOeixUIdrbspyuQq3/ETadcRxjGoI5dDGECE19n80e3SK/v7H1QaxTDLYHW0XfwiIudklcW2dh
DAggELKfiDkaY7pf4PnZlEVPcDYohgnz0m0tlKfhTOlijoSEjaQ3BTI1TUFVhBJJaz85q234bJs4
7TUFLq7u793GNNJtA211W9HBR7nT9maAsL89kl5dX3sm1WNfefKh9y177ySGxSNs853rk6HIGYns
qCHIg5hsTTsvT/Xvsh8jMJlVmXhntt4uOBXTxg9phVlQGXlBpyYCCsyhiMYE1BhmKxzK7isYEH/d
TfAqA0Gc+ZZw5EWwrd512EkLp8lQ8dXUqe/ZkOgAF1K8oPUIKKrp5ZGdtI5u2Gku5w6ZVkeI9Qbp
z83oGkcPHyJyUSiVAuI9ojhKicAs053meRHR7qiNgJMi6Siu3rlfSoO8a2RmRG3IHc/9Dl3A4Fra
yFbhaEbdH9hfmoWGgRzhBoCKPq5tDTKY0jwnDpIE85CtoVH81xgwJ7MzEXS5G37/b2HA7JzOVjHA
9vDg/wlgOmz9xN3CBHMLt/vCMM9W/2SCjUaVPthT/SOHDPSYIuc7NKjxoPDk7a1H5Pkqi9syyAEe
v0Bl8S/KeipgVRUYWHV1TxMBSXMtCXtPqnzV+w1kQhB/81mfjh3fYjfxQab0zTGLUhiOWYVAR6vU
Y9zwrfMr31iL3q7/YoZ5iddx7n2y+Sc4rHKHIQB5BSrJH3K5OSGHRXHOJ5Syy3mTug8JVNjH+oQe
NssxvQKMa6wN9nfnRTImR79KiJBP8lXnyXErq8wgzh2MmIhFfBh9kd0qGUfM7bqEadXNeEBMy93M
MSuPCJM8PR7UtFVn1jfQdgctSCtjWAqXNRIaAUMOh+PLQJ5TYMFjvi6zZDjaTjGsvaGDXuJE404b
MFj/BRfDlQphTKKARdRTpM+ALbwDvG0jaFEdrcIkG38jjGn2iJukJ8iNNWLr72mz/4YZM6c6/zpX
FWL+DtvlO2pMVBXrGTRIh3oMt5Jlx0Xo4qEKbK1h0PzOHGunVn0TLqDsVa5yFWGflACBgd6sPUi1
r7o14c45YY51JL09jHEP4vO/xRxTqhMAHZeES45isoTE4eBBxQHdPuk5q9k50+1zaCz+FWtT86vq
WMkTJOuhd5GscHqyPGMNmO8QZc+Wn/PpTAGXXMzuYFz6fWR+RQ09Ek8f0i/RdK08c7Uxfa6Uz+8q
C/9KQ5mbrWcizR6SHHDp2vMbVtXAk44mLfo0qMnrKZACyfS5MWfv1qgH+z6lbOehvkPdGmiGVf1V
uPu/cgHu3PrtP/7ts3IBxfB/zQVZx9+yj6oF/NB/MUEwrLs+jA+CdwjapIX8j2qB/+8mhQT6orz2
Flna1BH+WTFYkqmp1eJOobRn80M4JvqYRG8Tkgi2Fbahnr8YqP5/KwaWi/PRsuBwADQ4qRgkKq9M
8NPt3mP9ZWYZTJ6kPau97JuRVDs/LT8pQ59Uw5YNO/4D2+GO4KggifykUKDFMGUjlkuODb1DDqX/
RPqas8NCMH4iTeCO/1x441AcAGGCgbuTDYl3cmmNPngqmW0MswW+53TwAX0n9icd+JMC7F8HwaZH
YQ9t5W/3r8Yg4uZtAQnCDNd9az47EEJp2aPcx6z+08D6oPjw4QW5tkU0no537TSvtSUdI7IUAIRC
Ru0V220o5LmeHv4nR6EUxYjQiSk/KXCAXBOVpnUNvcN46xYslcu4Up9cyu/DAMkILcilZMQai6rX
L/Wi3C2A8CZwPoCft6yLmjcWqdm1bo7ZJ6Pg4yMxZ6PPYGF9Gj6GLXuqvEE1gJvqi4GFhMuqm1JG
8/Xv3zas5P91nGWg/FSJmtiGTaj4m30Sz8fYo4JQuO3uz8cwPhoBDABQDchcaGIvTuafDpKW6KuK
hWyljQ4c+a/5CCVi11dHw72kurLBNcQ66ZY/FCps/lb60ebP5/DBKaBRNYUF4EJfXq1fT6EK24oW
Q9vsaUewIJMaYRbxZ7qWjw/CsKAph7LlXVDx03WabmFRRQVvg2Z+Ok9nmrMIC52/l0u3vLvvLTjE
KWgeEPH8eiljO2mExPPILMy2bThgS+jPclST/4M7RqfvPw+zXOxPFzOaynApnzEyovR1DJuDytzk
k2nowxv20zFO5jp0Ta5ZtlwKRoH1WEp4jOhYPrmQD+a6X+7XyRDHhFUh0+Yg0qhh+bZlF0TszM8o
cVkbo5uM9Z9v3Gmp9f35OJTG8eDxbTqN6h09P5/Q4XNR2VlX4AwVR9V9bYqraS6vsnH756N9dHUU
DxAGLceiuv/rY3KQB6J/b5p931jZVdymyWH0MipNTfMmvVb/5HAfzEvMsPxHJ5RG4el7pGv+MMsQ
hFBqq3oXZhAUlJVHzy7xoMUnD46OICf/U5+Qoe4bvDLvk65uL12GX8ZgA21di0j+I0ElieS6ryzj
EI0DJVDieIphJ6oBAHSMB2MIjNI1buRgE74yy6+tK4qN5rfVg4inuFjhPjIUStGpeCC1lJ2SpQ3g
grQRjTDiEXFfE09xmMe+Ocgw9HZuV05G0AzzQLnDhx1QZa6La1PWD6m0LMokrjwabPODJO6fwrFS
qG3SkcSYMZEPk5O8DVK3Nyp0KMFN+Rl0oR45ZAEsNXXnF+prPSvfybml1R5tRyd0YIbU6p4ScIH9
yUFHDyWrUbjGdhgTn3Ao152/zyc33liqIRm46zm2mxcbMhC9L2bo+KvcgVIT2E7z1EDXh7UfFs19
FGv2reFNcLNpARBLkdV3zRAmx8ainmrNpNhsR9PfFb0OlL2yb0u7wdhsUjCc++Q6Km6T/gIpjnUx
h5g9A2XOjrPm1Dp7i3G4dg5d07lP7FfeTHQHE6Bqg19aQCmlhpX6qJ9BlBfYZqPEf7ImN9zBtkE5
0nuiOSejoUNznr1gSsrIjlBDgXEhrBHlNosahbJbDPLSYmuyhw07rYXSytWolQ/ZgKy9wQhMv2Ft
JRa3ClHUSL3NLfq1YTnTGdGlw1e96SmBLa95luoUMZsl08od6k03Of6mHsDseD22tJy4oSAOI/d5
SnQ6tRimyX/IX7EjV3hdwmrt1ZUpEfH3tUlRGyLdmiIvdWVml10TZvNLZ/UEZIBbFPOutT32VZ0R
yWevM0C1YxmrvFVK6ld7QRZxvE2LWm7jaJiwXE7q3puq8iDKrjdWJL/oKsjtvL6pLaN6jiYQsKtw
TqA9mtT6bp1OVqBoWuO+0mPPhekxms9ZiJ3xbByk9gz62fYCx0bN20tViRUFXecGbGy4nmuHWl9h
x7hqtLo+DKTwfhf9LPaOB+1k8I1nNQybsu/Tm5iG3WVJTbIIzBGkiEWt8ayZ2oEUK1TyTdZPT3Gq
wFyW03Tr2tmIPBywJdxbj9bOwfVhtwQ4Yet+TTrbQLko9sYsKDWIAJ9MFq5u/jpZ0E+jJLDA+VzD
IDv4tKlWCh3u5jJZRKYki6JICpcBiKWZk3MO/TwXRhBTaO0iJxCZ7Z+NrWf+SAndXRMRFR0REGAi
s/toB35aDzrwY1uh5d3RblORLihxzM5+FIxWeT50IiL8wRNQ7qNb6caXNTWwwATCIWN5hd03aKyb
ZoRaE3n0HuCtrEdvvqqxinpT/mCpb5NsLjDdZXAMi1ewR9CcW6M4VH0sYeY6U4uHo1X9ZdYCP1NL
2oJR2cmmH/KcBkJe6RtHj29jjNibdERoZfc+agIpyx3q+K5YJcWohaS11sUOX6p57OqxC5rJsM4H
xvURER7hvW1rrdK8fSndDiGprxfVKtRTc2UPHex+1tMX6YjiEWKP2rVdnr20Ki+e+rgg2cd2QoQ3
E/kgtJiSNQMx3zWE0NwOCo2FIQ9+Ynyf9AGlAMHqX0WhW3dSowU5jom/ms30Oo/0YgUIGLx5TQ5k
P+v6Sldlem4UZvVNUmb2KBPW+vOs9IFgIEQ4oZ4bF/08qGGTAu1+iWTS7rzWiK7THJdKPZUEEc9F
M4GBbF1sxk2u6S5srSh9SZjiL1DX9GvhRdXemmZjbVqtvBtJDjovifqRKz31Fo+lG12SzpdKAn2I
3mhnf/yWF53+rZKZup4SN5XbqfLFJcWu4bqI0/IqrSQ5J2CqOjLgdBMKXa96faPXlQ42tq7FXYnU
Aniv493hQHBXQtP93SiM+RwYS/JQJK1PRW0a8YWZiPRv7TK0bk3kR1dVSdZYTggiiS04kkdcRZgX
9KrdJJ7Tw8PnB+dhMhZPJ/YwuzKyi1yMCS2Asg/wJsBnFRkJBplYMOwhvd71bM4GA6jsYYX4zKTT
8KKalKyUxt2h9aPt0xXWg5xy/44KKwg6Z0KR74vootSy8rJpScjQunk+OpTl163mxY8yChNuSPSs
L3kX+FVeqcmnD06XmDtb73Qqd7TWiW4Fz0QfYQxkqe7f4xWrXp7XSepsstwcD9qQJftYk2Djqjx7
EirNztnGzjE9V2wf05xESJ7tN9BH86UlG3k75w3Myl6aVO/dnEWkTc0rMo2HQYbfpgmDf4wPAhtd
6e4Lv5rOwlwSGVF58X02GsV5wQphIyB/HWotHzYVntZNSJF5Ldo53uuqdyHxuizmFYlQivtszMON
JeItuAzKkIki3zeY5oHCr+c6G9JanK/eUMXPXc2U72CZV43mbj3SFR8GqwaHow0Q4hOn3Lijpq+V
PwPhXTIEcdjAWsDD7/RqyZIkNy0OjSv8MvZVXAvnKjZyk4ao9C8jKFSr2feTGyz15CHI2tssxq4j
FU+H0mzIigTpf4f/u9BQZ/oZwVuCJ6O3HYh2O2uy8w5JBQsGv3fXxFY6ZAOZESahLNo5tdEgKLRq
LEnzixpbOQVFhVeopJ54wLsVXmtmGT50dJ2yoLdp9ZK/Zz+ICa5LgIt3fHD/H3VntiM3d2XpV+kX
YOFwJoFGXwTJCEZEzqNSN0SmMsV5nvn09VGudkuhrAzYQF20bfywLUAMkodn2HutbwUh5T1CaIS5
IWxTf1VBTBuILOQIL15By6ARdf3epu18lIql3fCnBc+GSg4xR3ZZ/2g0Oz9gqpWgLoUS6Hr0CG67
EHamqFc0OxZAW7PBdqEwb0SpMK+HLX7FzQDUjkNepIEtoVi9kwdzmT3Zwt9js/B9MLY6LwEOSfD5
Qg4E/Q63FlnyEaYywUeNUsSYWSym5lZEP2oD4zsby+iSVirt3EXgoJFHHKxFGlFGBQLwvcjUjxxa
3DGWDOzBtp3d1V0E8Mzui/yQqFGGGchQu+3IF+ZCuVcJJwGGSQ2bPAS/1WU8bQtEtGWhG0KUr7UH
3r8ck8mQjuAlBjefM1wHZmT4aTO2HsGb5a7ASON0bVgcyhrYdCaacVOjwbhFVTc/SZKmlJvZxCLa
Whn+1qFt7sZc0vDRieKeJEDFKaUIQmnUKgcyzmYv1FZF75wYuy6aySIB2bZhv10hdJ9B/y3GsM1T
9tFEJyBBn3IAVGgANrSMo5sFQLm/qmiKoHsL547dcyQkD8W6m4XXncw5lQUQKUCEcJ3+oRRh3rtr
o/Kw4qGj0npTi7dJsid2SvtBNYNViuApjXisc/Zp4HUMWVxEVtUQnyAO0EJv1NAvFvmRzHoH1cqW
U3++B67BBjqxtktGCpahB+6s6q5IENIF0ugj29/Pk03EW7EQvx08ZXnmVFVzXJjTqU0weZTjdWCU
18sMcXGMTNWRqulR5tDhwdhO/JBOAHO79DQV443V9rddH91W7BE7Y94iGm42gzzB9KWpu1HWoCSZ
Y21CdgodDzt2g/4nJXE373uwk3SJPUSes9OJ+t4aalg8OlL8qTBf6B4pjoGoH4ZAdAG1626IZKIF
rblxmZvWdbK6WcJIdQgQ2YxynD9F+XhZl/RwiNABUE8bwJZ/ysOFLHcfoynRgZPth6QCNiGBhcgX
Tj7T/K7r8uOkyczTweJZOobdAhHMyFV6g11xQwQXO9W7BWq6LtacMYGgOx9B2ATpVRTxU4hpWOMB
IcZlSzNc6S3ot2LEoqMs881SaDtjWnZDkD6P4XLb9NIHGyfweAGJXvD/kAbFr5zU2DraBuu1Xv8Y
F0N2V5wUhVavVJvgG6PYYE+qQjBAg+MQ7bTQWlNWh6A4xqGynYLujq3bXqmifWHXtIZUPyA5yyxS
V0qDtzHLb4w0f2jw1lMH6rdZIl+HrYniIe9Tw42iMtlIRli1jhxbhL1RNy0gQBnKzK5JKctdwh5I
2gCbpvVpiE574ojYy+5C+pIKPaq+m0rtQgUEdxS1Cwnssl8UssQsXrw0NRmmwkLDoa01HkmW07rv
bn0tjosLy+qHd7ge8dEqX7BI2n6EU3ozd4PuEgk4XWuYoW9saa53TD3RdjRKoI+J3CJCFnDcRNbt
Q0s9WBTXxpEZqk8sm9dUsQ8ydroUMrys4q6SWj3bRFZc+kYxJ092YhheU2r1sSgCQi+E6B9mzbRv
1TzXHBOlzbMkEUQ10I3jOKdEvp6Y6TOJezFQGROUtLQfyulnjPCo3qhKY3nd1MSPJGzlbg6/6ZhL
cbQt8rZAoCQSPJBsGIidqkAlbJTOkDgx92hiE1Or3bC36EIvwmn0LCRfUzBVKi22cvJFLsI2aMk+
hauVxy1CE0rIN2ahkHVWVyOfp2I9ZEQGbdVSITo1fxRtFjlWR/qOFl9bxAlulAawACiGZLMUSMU7
idyWYJjkfWOOhkPaTPPKrjTCr8hhfD1lkqGUL+a7ndyUWuFh5/qBHn/wgXldmGY1Xzel2aFpGt9U
Y+BimhJcspt9FPb8uABJ9MKyqrYiV0HPaircnDiyHqRS841I3EW91N7nsUn9orDS+14rW59CgXgt
zBqxDBAK3ybtai9VenbIExKRekIeiZFUCDFIx301T8uLaQDIUorZYvc757cGoQEObHJIL8LsnWmq
zXvShbrLIGW7uFMscDbCSI5pATd0M01RcmeGTByEQOAg0eT4Nq4QYOjjgLKsLwf/X6pSWZhYMI+g
R107P4gnTvonQo1EXOYRcpO8daHh7EaQmpu8KrxcdPOZo+Bf1srTq60nxd9Kl3lc6B1N1QZzZ3FN
+FbUPZcRO7R6q0TfMRsOpB0UqvwCzvbr2zyVWf51nye12TAk1itb+1JRa8w/k6CHDIt75ftY6uHo
moYtO8QHzWRpoaiI5k0h0AbO9MSZmxFStLXkpfCI2YCGdEbzLCe2g0DVDvLumdLrSd3wv36pzcaZ
VgZtmZPSWsOxC4pR2PhxC65WwzbChI8OP8NEpY/s075+Mmt9/bdK3q/LYdajkaigtqU/8+crGWsJ
AgSTDZkQi8+LkKNlOxdb+0MDQYIwXy3PVSo/u0FaNfgDCbWyxGlDqO5zU61MpfYbxbjmE8sdLK8+
ylfT1XLrTHvhL5vKOuR+v9paFP5tyFU96rUxVGk/maTA4UVnWlwHHOJqgpJCh7rv3FkPU32mHvur
4PrXg1Xp4WFNw91gnDxYKA213gmqjLByZbxH5oC+kDhE2G2yiuYxKY7tYowkOKtIXJMQwVOI+lBz
jDB9WjWiF0uP2N+LQSAfsvhexkNVI1ccRXMLYoY5usaQXQ7XMpnsdVjdlTlLTnDR4PZ+NlqEDEHf
aH5TW+yFq6aJPIWank+QQXcxEk3J1g7dh2cl84YYOA11LyRpiXRIhCyrhASE3WMjKgtoQ0bAs4jD
FYYjS8V2GOrKixX9h5521dUwyC2ZL8GZ5/eX0+7Xi6NSb9NKQR59OjDhfFUKKK7Gp+2kcovJtDVL
85IpoxmkO95XCqwyh48Yce4rznZZTurp63fBvw0M4FRG4GCclO8J/rERUCQ92KCYoDRCpWAvyJon
RgSDX3+Cn90qwnAIEojtMQGoJ598pQSxTapO51MAUNh3VclyaYOc96Jm/JaLsXDMHpJdMpG6Zlpi
QnxKHI5RGOxDjKg9syR8MiP88WtOvhhBtS6cMo2cSB1uMEThfnGy+dkOYshKGWJVeT/jcP76GXz6
uFmC8E/TDcQfevKZVgWFNIuLBmbMxlEl11FHjOjWMp/u15f67P4UjTYxjAGNvOGTJW/G9t6sHWkM
tKJ+XyJq2Xk9zbsk0gV5evJmKS3NEUqo7+iLK2euftJZ+zWu8OmtLjLBf07H1QhxBXpT2PkUtJDf
LKYnJI4XX9/i+opO5h4D7SeFV1rILCEnT1MiyyOya7Nek/uebdjjbN4QVQpg9hGZnINByAktkzPg
x8+Wd75VvPCCDwcNyskiiwA5p81lkSRhRRdJDtNx7Vs3NbnfmhluQCZe4oJYwUeE9HL3iMzOtabW
O/vrzmm6GesvwAh68hNkMShKqNosZ7CqgC1TDiRa5cbiDEnhJmSLx4br64f9+W2jnTE1giSw6pxM
FbStmrCzkHRrPeaBcBnaY4BoxQ9WCFRuKKM7Nua8GZiD3SaTon2DzGOjxuG5ru2nEwlmaLz3uspy
flppr23y5ZKY/VUQEQRvtepPfRnZ0q1JrdKNLLLVHc/pVwM5Fi0NxG9BU4fDs/f1I/ls/CG4gQ9M
k5pF/mTtYzZWFCR/DT5YIt1jymFZdEw17RlCoOZWvXyshu7h62t+sq0wfrumfWIHzWMrEAH5jT7O
HofTCZ7XaROr4mqR9l9f6dO7w2iL9Aj5FY6UP+cqiQ3hEiEf9olseQKEfWGbFRhsC3VY5SHT94gU
P+NL+mxYGwY7PwsyB+qtk2E9jFjLDRWZUy2DPSLIDQWwFeffwLBydGTJB+Q6Bi9f3+dfnIl1DTTZ
CEE5QFSGs/jPG60i0ckoqHmNkgprEzX0N8Mq+x+RMnR7WIgmjb52eiZUUvHUoe7dJY5TN5LZ7vRF
bG4aZfhhwjw+YtEM3rrONIhELcLLr3/mZzOqye6VGGeowNqpBCzsJnT01dD4yUDIslUNLwQln9mN
fLY8sThxusQZSxrXyYBGMK/SG8gav2mEN5e6vY/rRdssqlydmU1+nbhOZzD4Kyj82DUSynRyqdxY
mknt2sYfhfhZRGt5HpyvO2uatFPh9VM4VBNXjarMUaOycBIJW2xj3XZSl/iLbpYHnbI7EfUKsNkF
iWcQl7i6sEGROZ6G30KLDNoAntUZ9csn3x9MBBUfrw4K3zBPBosW9jbeuaXxZ/BUfVG8GQII00j2
yrScWWjOXWodEb/t6WequBW2Og5zSY1AabgmI5DVJOyIOWXO+5eHF/dlijU/StWFdrJdmHIIVqWm
8LUbJU2bOV7po5l+8/VVPr0liAREuSl0sU5XbJWzQpKwtffFMkCIInHGRL5Q5HSXIX+c2R58MprX
1fmfF1snuN+eH6BVPDwaF4tFSRjZUNzZBRIGWWvPQN0/mSn/uNDJWKYCD7BJZUzkdeuts2RR6J4h
t42bRIvY1AUgkWo5NxLXv/XkC0Lgw34as6QFTOlkPe4xAOnIJRu/b+bnAPwqBpF+18+AUpHItsBB
lod13rKtWJx5sp/MRewCLAVCAFs8et5/Ptm4rVU76o3WN5WmuC6MsH9AS/JvbJb/uMrJ+DdGm4RP
7tBPCFqBKgMTh9DNmzLszyw7n90OZeb1SELnXj49w/Z61+UqBGbfSkHNoCR8HnL1X5++cRbjHfwF
VOG//PnIaCdZuBIaPmYSdOqIJpyYtPrMe/lsIFJ8BNjD7kgQ1vHnRTLkQrNhMCSyOjMchgcsfrXY
FuKpayp1W3LQgg4CHuTrr/rTy+LdNlZNNvrrk5GYaZU29ljTIHe1fqXI92ES7ybcPF1Re2FDGg4+
kq8v+dkrW1+WITTOUtjK/7xTa6mFwP7BNGzSnC5M4sQj6dzjPHeR9c9/m0DSSaWrrbDk5kjMtkk9
/4jmXj7zzn7pJU+/419KPeqStvLXigLRZ7UzyQ3BqhnpV5w42EjI3VXYyuZz1vfWfaMhgZRTOPQb
Qkyl+z4a7ae++87W5LLEQHmf2OQuO32TE4Yxi+AOVfqmLS9p9yBKe9f4+QcN2t6mSaJrvbvMAqFt
tGFc624UZUwKH8CVtcC4XIi/u4hEGj525X2W0JxNVYv6X2zdUap/71GRweCeK6cxc2ubFvILNsvB
C9ty8EoO0y7d+AS1g37JBj2/zNSh93SzC256rW3JJS77bYCL5hDYSZaj8gholH89MD4rgUKJEzpQ
Lqpu8qk8Ncu1UaSV1PmWXNP6CPvomZsMX+3A1K7abu2wKEUmKy6C+tItg0l12aMkbm3UAex8WNlV
QcpQoqzOm2FV28eheTmFNhk9IcjSr3/uJ2sUv1YTHErRF7Io/jnEojYxpgi/vw8g1gXm2WzCnOka
ccY/LvQ/4Eb5/4lMYYK05fi11lhBAasok3mA/73r5O61QHfY/C83HuI2LovfcRWf/lX/JFfAfECs
wCIBIAJIxT+9KNZ/CIvqNXXsNRkJofz/86IY/2GoGtADTVPWbNs1Ceb/elH0Ne+WujdWfZmtL6LZ
//O/oYOEH+XNP2aG9uR//w5XOJmlPnsCv89SSjlLihyAZg8MhYgJTqJIZX57Sv91ybOXAI8Bt4Ni
zl+zrTojBzGGafbnwYaZqNxGqfHx9SVOdob/uIvfLnEy15pFPjbTNKzV4eCijO33WEG2YkZkiBmR
+/W1Tj66X9da3xXTLcG+FMn+/Ohkq1MSWGtwbKr0sS2zo9quUQGjf+YyJ6Suf1yHuq6QFf4F/eLP
65BmKI9CHidfxep/lIP0qEf5q9mTUzSQ6iBo1Lt12RCF09wZ/fQQJbLTB9oOC/QRFdxrnymXVqkQ
FE6LfyYFMzTjD1iQyIklMiqEfDERx9Ba6N26Jr6JpOmubwk3LeoudiyzPUijdFmsnMYxZp5Pm0F2
JXXZD4n5vbLtb/FgH6eiQls4JKULooO2rrEHyHMlBtWgQIjmiEN6TTqvnDiFLd83RUUffAq+SwYM
+TOPi6fx2zq4Pi0gV3zGvBRLpar359Oy0TMU1qxPPvoINjCtvCEO7WJOzks1P7sQxiawWniC/jp6
2upSzV1tTT4d13s9hE5vB/ablSvfgBPQcj+3V/lkaANPxP6Ip4oKw2nde9S5hUUKJh9YgKcW9aZc
wf1Z5mZB53z9DD+ZC2xKBIxpTnD2r9nw97mAkYData9mSpOEP1SDX5r2mUt88vFQ+VQ1/AUUA/8q
uoLGjcel5hLWqG4nwjLwBm8gHZw5/P6iZ54OB5VvU6a0xq7odFMpIjuopVxMftXDVmnL+rqaql2I
VptzDqo32Jk/dTtyYzjEjO/E6a1pABZWfbQiv0FNeTTGbMth1jqzZJ+WH38N1N9/2fq+f9sWlg2W
Dp4/48e2D23Dmt107f2k16QjdIRv6wDnUe/tQ5kixRTvtUxTyOlrzuy6P3vXrCKsP9ghABCebIGV
QWlyNcxnfzEq5N7yPaKPf9m78mv9Ih+LnZTBuDr5JlGtCjlDe+cTKZSJ28a8jgpr23TmmW//s3uh
IfGrsAWD6fRl95bco1Pmk0RKI8W+JX37+rv4bNBqOmUzvkONCtrJjB+NxdJ0NaFLhB0Q/wPSJAiu
5tHcf32Zz7703y/DPuH3kRFoxWJFI0txpv2wUS8VMSmeFTyKUPO+vpL+ydpCxZLKP7dkwwo+WVtk
bPitTJSXj4TpkrYSxoBcvxpEvs7ovqWgcYlpgXJI34/1dBtL0Tv5i+0GsQvoBG3xJ7k5WrP6ijTi
rqk7KAq63gOcJmVJq5sPi1QCCqD9xq7nn62Qo43dDhe2NX7rrfAmVtTv9TLsQMM91jLsWoFtEVvb
GGGQqDwKcLcIR2LwKGbvISm+JKvlrZ6jo2F1b1Fub7NQ2ls4s52WX25G4xYUd7iBiuGq0rlJ8bO3
wuYa8BgdckpcJ4M4E33aJCVvBTLSBwT7fdfiMK+mCY1jdeajPO2SMDlQpMX1xDe5tv5P2246MbBx
lASLn/SoyWww8k6lQzxqZD+c2m2Yxs8c0nF6lPJrRwlRG+Xi3Nj4a33jJ5hrd5EkYUM/Nbzqc6/l
hB8JnxrBcQDOCUJ9lxnmmRn672/qj8v8wiP/Ng3+u5c56Qn8eqB4sAxMz7pGvMTJ2wuj0kCwGPP2
0HxW7a3U7fW83WTtdqqeznxUnzw4EI/sCpX1H6cDJZYruaREuUBF6X8UKYSluF5b0fa/PNuZ2Ncs
5iL2hAY7nj+nCbmOBjRu0+LbsGpSRd7wSf07l1hbKHSl8LCdltfHpNOYiJYFwmXzntaCUIhzVbOT
+uOvF4PqxKTmwzRE7eLPuzDDsZlTiFW+EiiX8ai/hwPGuGCxrse8/KaRdVIy4TtBmVVntiCffmRr
7R1zHovFX32KLkrJyQJ67uOhI0vClr1EJtPOzjTCboA3aahTvUySD1YWvdcaMRhCs35+PVj+XrK4
/soSwJT/SfM5T2obh1QpfFEr19GQHupCO1cBhYm4ruJ/bIN+EakZjLj+qU+etsQUhO2VpFm9b+Eb
JRDdrfWtLH+0DegZXIH96E/FFs+IpF4YKP4y+HDyXSA4NzSECT2L+TXOPxIMg81uLG6lmwKYBnj9
8K1G+4Y0NniQwwgtuIuJ/DqbCC0Lht2gPJfJHs70QSWWxn614/k+64ujWqA1HLI+9mJtgfHdBntT
AgxjG66hcORQyStO1u4r0PJcVpHnNu/1iq0PnsXPKJ3dakgd0oPxDXDSIRbZJDK0wQYL+nk3y2QE
Y1PIiQWfKgp6xJtPnRv1HzVBPUNut3s7zSsW1II0V6ArQQFdyJcldqH9LlCqTaG9EUXmFi0Z5QRw
tHgGimlmd+9gM3cr6bHFntho4liteBiJH6kXpB1Ww9aGPJUiLo7UZlOOFhEMxY2pdGib9dtRyS/q
8ZWwH8fipltlx/S+LYCShXcwbQiA/BZ0yh3YRPIrUPmVaI6QhPp5qu1lcij76NIo3+Ns3wbfCPWs
N7qYuGC3VySx76meYfzZ4Ap36gThqgHjqQwGP2sQ+I8G63uQHISck4MAGaHFfZELez9o6U40YAwb
K3UxgQxOokG7B45tqtuoNO+BpmwZoo5KlAnbh8e0QHFFuOls0q7SJzndMDXt+xnhixiecaWVcerU
MnDYg2lfWhikSD32muo6ouwIXueqru7G8GcbRAPnyNYzcLHMLRTExop2HREWJK1V0AEr+CzxQxqr
F3ZENnDk5cgrRTV6HTr7yhVD+zKFPdzJ4THStL2ePdipBi/BuqCDuqOE6HboUovgwZQ1Jw0Xp2jI
fakuEjxDGp2NbIw3IQO2nJDe35PdCjmvvKaD7dtYWoCC3Qw9eJ6lJrexemB+fAvsC/parqLr112r
b+K6qZx2KL0Ogt0cX6tmHG9mShuttVwZ5eJMCqIOCoBxhdpbRYmNNtEhWRDxGeileRsGHQO89nrE
vHWJ0pwabBW6uvXQhh6X1fWXsMR691Ejhh2NSxqSVZFyYieolxAqYh61/rIgBix0e+jZA2vZALZS
rd/m/rbP73LJt0I/1jdVeFTL63BWPRnzm/4axpdK5dSveaTtMUMO1aHmiUGTk7XXeTpoITLw0iJO
6giZZNN+NLW8ass39LTL+cFITZDCWzl/ba0H4iPjGBOMFOHUnYCpY8tSb4riFTinoyjXWh9sqil0
LNu16l0IQi8Nqqumr3g6EM7GYSMUSJ2Fo/aBExY4RnPZMfWLiRdtxvNBWoRvk0qQTOZWNZdbvXhQ
8p+T6H3J3BfyhXaVYN5ukIk0G6sNIBnCMolDtPz9VC1XnZwuLsYugmwA0cEAeMW8dzmEge2blcre
qQ1zumqLO+okq3ZR5nZ5WVybReUp0/zQ61jBiak4mvCVFjGUfo3f1a3CPPU0IKSb2pRT6Ggcz2Kk
Rd7Sx/X3fjQPOOYILB8lcEAIGAdqKRtLt5YDNcG7JEvCLTWlCFMEmQUhp77WFpAQdX4hZyePv5N6
uh68y3oHb5SyyR6JNPiC2FwcKVE8yv/9Q2tIL6BeHEu7aeL2uMjF90RRvMgikIwUSPBbQ9+7VUME
C0pr7EAtXlZTdsSElWaAlWLWxf0CATXMl448jGZ2pLAbLpQ0ljZTdm0UijN0SHjzPAfrWIiNORQ+
OjPdz7rKcIxYiRy4bMDgoq0wgqdQvTWV9rZP0qtEmhydoNYRS5htY5Iz55d+jqbNQjroZk5iyZ3x
GoKZmjYjw1qEg+VSJHgm4Oh1kiVnLORuS3TCxJZfu1MaJqu0U/acGSYsflHCcQDuFgC+4zKjXik7
alcriQ386drYuAny9LveybfwGVnDddRDbZxcNkG/JweP2mZMGEsfW249AaQpVOPFDvXLrJpvjEl9
EcOPTo9vkrp+ShXzODbZ0TYHdaPU9cCMN/zQk6ba1HiWwfGxnrQ6EMIXDN/f1YiXaQUkByqLUzHj
p5U4ToP2wKv7SafukfLge1v3Oq9eOpbSslOr8TKHwC+VzXVl6GS+tndor7aZTKxntLzlrQ4ftliY
tgCF9gOgb9oMQq14CjJGKQCroZF/k+daYWmaNjnfwGxnF1Y67Kc89jWz30PfTB0zqI9jrb/0XRWx
EBcHvV/e80B7VHt+3mw/zOyOHSNXH2ozOJCgugWVelsmhmMm0c8oMbBJScpbJTAzFsrNbNEjk6fA
z9EQyDJjarIL9aK0JckxV6Noaq5LbWQEXmKP96KrysPYFHdlSOJ7JUs7u8BLOUvHzkwjTyUYh7ZJ
TzpONhr3aVrYcAxpxSVrfpFNKsjGTsvo2ihR75imtYt6OlI4sR6CVnlM+77DKVde5Hn5UkRMFiVh
LZJc5g56jtzJqvw+nNK3MhUXgY0Bum8bWkt19UNu+TAlFEJuqLUN2N258kyzxFEBsRKAx43UFhnk
Imj1uNnQIKuHSEJYSoraplIn4YVFJ9ys77aWiBxCnIl64v+s+1sQpzkzoepSs/cUPpdWxstkaIxE
pQFj2PTWvlkMJiaZVcPWasQ/vU6kWd9TfRkpU4UNAcnD9Bh1ypOSNY5OshIIP+upJCjOteSRPtra
3wEisVqD3ZhtFS79nJjK5iDadC8B+2fJMbZSED5msvREkJcn59TYxsXeyHp56JqRUDIo7G3CgkFh
pkqyGyWQblqR3XCy30sxeRzacoOf+0iiI2f+OPtmJeIQa9wdHrolSXjVkuxLIxTlemq8lJx2RcGQ
2NTqt77g40RcdEyirHdqAVk2kHhSyoBXVdjjsU8gG9U1hqs0RHGOI5fdROElOjgdyTqE0XBbZMtH
GOFk0RIiY6qJ/asWfstLgl+gujIhtlAjkc5spBaTdNVm+mbUe0wmpkEgjJw8RxkCsyR1RmFfFUvw
jTCuBGfeYOyySoFHmF0Her3GXlPToJj+0Kts6yYYF3hMXxFyXSsGptixE7e5ml9VJqEkODKIckmS
K+gP13lla05RsIEwS/VuUVuuxhytJ15Xm75ZZJfsxwkjS+enTg8jB/P5tSJX9zomeEiqfezi8eZj
0uWckSvd4Q9G3l6pm8IeL7uKVYjtLra/58FMnxINYDBqxLshHYotUNT6oKfLsCmVqXHKoIBUEYR3
jYQBplf8OW3hBBsagObax+n/Vij6BzDNzhGEgm4AP+yziOWlD0v7gJGPaBOOCE4wBCGM3CbdEtkg
H7VywFE/FI6tmnRjs3inDyYY2Xxmc4C1fiM1y0Uu2EzGxvAQAG+J+5FMdcUbF+sSdPaw1TX9u9SJ
bbmkByRWvDpG7GgGmpt1Qt9heL3A4+MIwqeUINobnenJhF+2pD3yk8jK7UKHWIEXBBZbpeiuKUo7
acOShH607MxnKWz583SfKSozHZ3WpF15ic7MNi5a2LeM9B5qTilan4Eozj5Mk2GqlltAUTA540PM
Vt2CpsrQ8UQyHOyB0NfBTkAjlI+dvmzzCfubSOZjRKkpa1S3r4MdyXhuo2BUW6bltcilyzifX2VQ
74RWkoe4SGzjlksgD7Iz9bumaoCWTFgt9acQp3u5JLdC+oEgAEkPLi8SFRZazpiJqos2Rgiskfqd
cATBHvjdGsns6MYtIrhd0nbvkCdeIPc4gzLsizq775QAAi/bBfmyl9utJWFAY2/aElaFLf4F8CwB
eK3XacLFLOot8k2S5Du8sm5d/6jnxFVSSLVjepeqoCYbcTQn+b5C6jFAIs6T9LaHdDnCb+DYoQlg
n0J6Xfr8IMsvCKKINR/d1HqrTSia2kFdvi2E+dXXIvxYpY9VTbA2FupRFQ+WteyijpiMZZ/ntYct
czcCpEhT+3LShaeO7VUl4358tHXVY6H1iCe6sCr5Li0mvx/ij1zZF+VTQGJZhGho09WshzafdpV5
Zms6mll7AYidOZG35RqE3SkeBu+tXvPwJClCGGizhtT7Ja92pYleYZ6sGxUMdRt2hzliS9EGq0Oe
wMOxr97CojkaXXURCOFPYeC0avdcj+EezD3gm6C/Eux7zTBztTU+W9mZQX7Z9Uy9FIeVTahTmJFm
eDC6IbELppOmTagLs+wQWsWtlqiXrWHcpHm/TfTGpeZ3YUBjHklutrvO6zmdqZnxnkb9XVUr/pIo
7z366DbJrMOimN60Clcmi+ostlOtqzyMj7zg5jhU9pXSkGVR9M/xQL0LwI+qV8fOHt+mhepGQSw2
2YgbEOQCDMDPosjfKzbiUC5xeEbXtV7e94zbLLzKODGCImhydAvGYyHWQwYoc7jFxnOV0hnBpjcc
iSXdWQvAAwUfc+QU+CRn0FEEcZfV8hSN/Y2pifskk1CWp/GTUas78mh2dCV35lw+tZgqN00kVoQJ
33W/FXPi56Z0OYHyqM2rpq1cKSMXh0NxbU8H9Fybfgnv4R65SxseOkl9ZGpw5cncK818qYzFkajV
G5qm9Jgdq1CuSfWl55zdAMFwAk0c2rjeiUFsbWZzqd7RSHPmUL/A+4stVYlcuwcZTD4pZiPJXyLm
ScneNvCWN9g8QP/hViUHeJIjd4BC3wTaTzUu742ZeFFI/8MDjv3vUDcuwLIfdDk9aqK6DcbZj9ny
ymm/7v17QBXpnVjGi7LF9lkZKGuUt1Yab4YOP3cKtDit0iupVRNHalhwzaGmMKB7qWa8xXrzGJPV
Kg2qY0f5c9/2PrECnrl0T/I470HIO2xsD8ss77I19z4lhXCQD6Egu7uo7F0NBUERF1h23YnJX1Kw
7aorH7+/rku4JHFypSa4hgHfIvJ51DABkjLvKsG6CPduWicvDISfnTZfJ8QnONHSeoGGTD8eoWK0
MR5BQ3IHSdotdK8CjYKrZJG2vmz5CLw5MVF/90dSNF1A5K7WRwXW6QYGwML2dN6rA5X8UdV3gu8V
d/X8PLbdTahMPp0ZHMXQrWt7Z4j5ppfGC/yKngkNJaynu5gTDtsAPu5Yw6LfBwY/tj4Czb61pIgx
MaabuK2uU8w7mIOgyy4Bf3lwM+qhZwoeqWi9vrEhdtvlx7xEXjHc1gRMalWwk2imq2PwRpjZi1Yp
ilMl3ZWVzezqZuXOwrtLrkHxWktYN+Rgflg60sLzNsauDjK6qMWNJiiOzGxpCnk/ygqwFOOiX/Bb
N2Bpx7TcNpMBIIAM2DC1PanktULqHboeaDKOT6UDid82XqNlrmigk2AR2iB1ZjXLcL61nCPL0IvL
5lXWhwhLvuXY5N3bE+HCwOc90QDIaNNtx9xUNONdVhR3nR69FxlfQJgWrwOujU2gDK5kAfZgn1aL
+UWbjFcpNqlmNVcjS0sEpzQPpG/oyT0zGm4KLdoaZPt0VuQZCd9ET3JtrYWukrW7AqY8oc5bbYzd
hjOuxg6FUyr7cYjIMzYTXl4QdwctlaCL1K4Vpz+qpn0fWnaRlkYy4IxiefhP6s6jSW4su8J/RdFr
oQPeLEaLBJDelTcbRDnCmwcP/Hp9SbJ7SHZPG0kRkmpm0WQVUZlI4OG+e8/5Tj1sAXht5qJ5wm/K
vQh2uqcLOCkDmauQm0b9aHXNLszgzAdqmrhpQS5Dkz9J9TvxyCyRJCmqCdb5KfJxhW2twnBrmxi+
SGYWZV1ROo2LUDZXM4aUflw2YPDh0i1C6qK4kPc0ihaqJntjI53KuVnHgbk36e/UdnDJACVsNfJS
Jg1svzmZATUE7hFi2nVGW4p6jEbnVoaEGsXKLlE/iaE6Z1F+1lt7hzvlNsY7naacd/ZfoUwq/IX8
JOXXUl0/N07jLBJQTmRiKIsMbN2G0QPTNGU+DurAg0f2Ij1cDpDZrGqbSsECRhf5I5L8rA48mEW6
mlrrpE6Y5CtusXBW93kQb7RsXkHsXnW97BvScHR6UvEqgtAUbRfNyiYDhhVplL99ri6JLKyXWXuJ
K3Wo/bEpebKRH3BEFms4RKUfS9TR7BclL7hoh4deegrb5F6hTtp0RjruOwtDOQnXsGxMojZFWxnr
oY/u8aA7VNZtvWDN3YGIepsaS+K+1acF+DdkJU7Jcta/y5N4HgvpsZDoo3AR1nl/J7eWm0/tOYr0
Nzav576Y71mI7oaAnT4ZVj6db7gvdrmf7WZapr3BXQcjJ1xI5HmsdNt+xFn5OjqICTtdOht91wK2
1lnTpFDeiLR/HfJw1XS8OSnu3ZytySK16rtuktcmuSdsTwtIdzTQhnk3FfNZladhQ8I1EvgGj7TW
UHwBh6DFA+6AM2tb4X6cCHSeVe1TJyU9UMCE6Wp/jJzkdpTnI9EKT2KIzhhKCl5mc+ol+nUTIz8p
zYuFXI7zotDIga5z0pELZEBx+6gU8WlMi9di6lajbS4LGgNV0txbufZo1eVm6jqajTptQGMdlGAJ
smATdPYSBH1C8YiJMVOWbPnpw1ZiKUnSdZtw+TZSeWsn1ZWI60NYzEcUyDvRGMCi9INhdsT8ErAy
O3dGW3J/TbRyrdF6c3r5NDQO9WDJu0mOLA3LtOvPo2bDsSCyms26OdFB02baTFXoGqGhLlpLeRJz
urOCtnT7PvEarbwjDOhu7sp52QNmdmcK/lUYIDiyrEKjn6Xdto04z0EGr8A4B0lLO6TSzolSbRqD
HLNGMTbk0T4aY4HHylyGxbSN5WHG8zUb7liIT7EwnsVkelM3+FlV7ptI3EgssqlpgMLv2K23fptI
tRurxVFvknvbit9yq1xabXg/GYzA2RgTedPcgn66a2zrXrdoyztaxCJ32WsXLNjDfA7EhWuW4E1X
4U/YemS4lWS+KlYS8s6xmEEturFr3S8JicLf5E9Z7wJQ3dMtuc6C9KCOJA0nCL5KIQ5Dg5++ktDs
XoYhuN1ZksedImx9keDDWNRsy7y0EoTsiJNdMmIz6rfGrHfclzR05Sa8I7np3JSjdMiawNxV7BQ1
o8tcwx73MfgSd0xymrwysTqJeZ2rBOJ2ClQhadg1kK0EzgtDEc9WU90Q47Bl37KxMmNTIgRbKEle
3qe6tjShfYSwLmYzvOul4RUDiYo6tpkXY64vh5G8NWbQLCWAN7Z9VDSrtFbOcFpvC0l+G8PmWkwM
4hTJ0N0xqvc6bc24nzd6W99asuzlJUehf+/WUwhM0kzPXajchaAZyLJok5thhOrOkNPmiURxVlRI
yVOdQc+YF3tUKZlr0k7Fvr9V4Hg0szKugguugPF8vrQ1CIGVxKJdl/7AWfXKRGe3P0Bi0Hv4G86o
4EyNVSKmnUwBO0OqiWhexGjwkmu2qez9SXJK9eeZkHU3pu/yXuO7XMCFe4SDAZVOD4mBbjIYcuFd
k+bLCdRk2fT3feT0XlCHh2qwdpVIlrpFpKE0WethnDp3aHJz0Qbitk66S5JT7JIFvqNxeDYrxgJl
WNzODTD9VNAfry8MIauV76hLp2VMNuJmkssNO68bK3TuoMAdhrE5hiwNi6YrqoMQ3Xg2i/DYWeJN
VyaXjxFhh6ZdoQF/TkoqNCF/IunmSi1kBTEafMrMTnqGXTP18vhRzzoULkyPi0btb5Nae5St8SqJ
1ftgkDxTxA9MRBuQpjC3MF7eZlb6XFvcpUEnubnRP5BSRfEPH4R6DmBP6RBgGOV7ZQxvzC67jzpY
LSNoALpAKbUFI79qIsAmhxQgbUmiOoVCWyRjfzVrNf8xDJVXKAMZTlX5pOFBXZh8pLHQ1oLwqcAY
2TBHwg179TILqXzy03x2V9uom6+AMXNLgrahJsKilW0nVXntg4neuGw/MGr0+p7QAEewrhAay5Zj
CJgnDfb1xJNtI5cERzh9trLBBdIL53RlhrWImCL5Vs5wz1SGOytVaSA5V7ben7LZOqZ5eoAauO/D
6FNbdya4KkA8l7xiwylzLya0cW6iW8rJszVJx6yrD3Uc3lmDvQrT5CoKZT/gEjMLY5PIPXNRZ2LI
AvUJ0zEjKtukgRxu9DygD11tyDl8QEb+WtC6VJJxk+TiFEXpQzWlPkXJ1iiTYK1owyov1b1N3Ftc
1WdMQlsx9K9gKx4nnW12MqykSDoYcw9W03k0ieKg5N1T+j5AfNrpmuS1enAdy/YqZ4klN+m2T9nl
BbZXKvJ93M6UddWmV4JFh5qIVBH5cahkP9PgPlU9vaPOAi2Q4j+wc8kVrENtWfqZkq/qlFZFTPak
EqxStQRupQpwYOKEQf0Kkt5zckGMZmV3J8ruPJY3TvNSadqDJaVnMnCedFoUkTWsB/Z+QWnUEK3Q
Igjr1ZApInyDQCcuFa3MV52WbQMzepK1dKODYU2knklkvsLnnS8ybioxZDdNbdzjrlz2QkUYGotb
rVCuhp5esBjfcyO/TAaLnZkH27mkbRvNn/pZWWOaBOmruomSbdCxbJ2A4HFFP2Rm+KAAezUzmtfa
PLhjLd0HwKKo60IXOBHw8TKgJ086xdTsHIcZ54xa14U2dKid6JyNFfwdaztYgl1Vn6y5gRFY9Ce1
mi+k0aWoNXdwgvPcyc9RXj5wT/fsD+aPySZuTdXDw2gD0L6g49IsD72GCtyJk/e4Ai1Ya59A6J7A
54EkrXaigHtbSbi4kThtJC0hdR5BDN/D4S2UW4YgKMTWoOGw9bAipcbAuNzZVo3yTEHLeKmub/uG
sKMuOA6BpSwmwzma6fiKG2gNFgo/NpfLguxpErYaI19bjGmQ5u1B7pFWB76RARsqWm687GTow3NU
ajd5q92FAyeYHS/+Olu6aN5ouBXivrfzK1GmN1KuQSrunqH7r8ayPkOZ2DRVdrRjsZNq5XFOnXda
CwAOrdyhYdbeaMYVI71TnmVH3RlWiRHtwLbuKy3DBhwvmxBOWcaVOqm6P9kGGEeDPnQOZJnJz8sk
iQfwn66UEUY2l6faNh4nqhc6CgdmXTbaO5oyMilBikBCpGSm6cpxcBhSiHn0TB/oF3hJUr5i5Pwo
mmhFZNxmsporxgBPocjuMit7QsDjdUXq99BkwTO5lhb4ZOS6k9m7Jj0xcCCs0cyJYPmF0bmylU3T
0u4T8iaJh2tC2YBPO/5sFUfgjIvcsjKfm+xKtGA5CVMjDEl9LXsah1Psd069nNWJbkf7htzQl8N0
VYVMg1TRHPA1PhrD9CxDujMK5Sa6nH9BCZZa0OzjjOBjpW8eRtEvp6Z1cf9LpN+MOJpQiWcphiT4
k14gFbf1mN5pUulshCZvSB4idSg+jE3yktRs2TCR0bKPdmWrkXc8ErHcKsV7DzsUeI2LHG0fYtNm
8rvrdFJKWkIjHIi2Ypy3AswyHSb9KiV6OrFl3y4DwnSZ7jrqxmn1tSaEl1xGB1bJmt/teqbB+dDd
O2VyDXGZFSe66cm1W8IlW9WKdBMo1Bw9XWHW8E8l0fPQ59h4OMnKtMLnElGs1snVQu7EvdBBMlak
7JUdp4BdwT4NpoJlpHobYL5F6VWmlsSaESClqZa1rxuVM5ZmldeaIvViud30jJeSztgZ7BayQW0X
IVsBTWRMd0xXssf3ediazhUbfnJ/KAMyr1PZTKUTwgec62VJCGLmzVmw1mtjN2jxsh1hBIvyWQ3B
8szmay0yx69KJ/FnefKgEy9NDXO17auO/FoZEq8+YHTRhe8Au0kiu69DIuziG97KY3R5tppyuRqZ
rPR9sIPB/mIV0l0+KwcAcGv4/7f2nJ9LGZ2wdITGs0GbxUhhRuPTkdjYv8SWShMG15p8mWMZIMQZ
nThASBbEI+7lMt0U8njLazIXjCJX1SCv24DkyvJ1nIy7ioV60UaoRupdmn+69NqqLrwW4GSKmuVb
IwQ5Lhe2mWzLmiwgR3qN6ugwFu1K0LlIMHi68ClcKCSMWMVz1LTPiSYNvqoykzIl8VEHbFANRhdG
Wt4Db/k0CMiiLOBYrsU65fORp/5tji5yKXrIGTg9MgNvtYidocN0Po1BpSeDr4uCjwjX3NRN27F/
mIp4PTfmuUTI6yHK8ICWLHpb33d1cWiDyDfoKcYyU199/pAbx82lKd7T0LlVjGxTWZPfkahWpFmz
qCz5WgcxvaDUj2AH94ugpXDLeSSMjnyM03RYNBZNHVk5qJg/FuGg7RN5fo5GZTeVI20FHmQgMehh
xY+Nc6zY6PKwsY35WMbJSh5HIEpDiwxAr9xoZHnBBZ+Do0NsoWntCSWAhJ412oBd0TyjdIxForOh
z8Ppk5FX92APb3SjGxbtXNsL5tx3aa+y1Kvp2dLiLab/c2M0GP9MgjsRY0miPA/V+N6l6bqfNM6w
8i4X3VKCq2dp82FUeji9ZXMTFd1j0s3HWZ8fL4Gpndy7cmrv4ZnSSY9eq4iGqaQ8Y9bbIbPZJHC4
cUWyzkG+XFzIAuQG7AlfuK8iaIHovdw4I75NlBtj1rdGTCXfiI3cdKsoxRLpRESBmcuMNnLQsGnT
Aa0LSfmwa7Rvmj8M6OPUlBqTIBZ31pl1wOteNJC2qphAR4sCLOjFfdzBMpqqeTmKCd+hRvRjDJiS
kaRf8oq11MZjaK57yJpzwxO6AtcIWFrMS6reRa7qL2ocoNeuJhDIgglgaDmnIWSQbejTDqAyMG2Y
o0PiTbO+nsfmDpZwsLA6pC14ccOhXw8oOVSZUGwVKliD+H479Tod24gz2/TxGRZr7WnMHiRdvutg
LgzSdM+WzcV6u86i3ssw227l1ry3OonCwOLBaROYGAbzRyvpLN7zCm4TQ5nmHFRtjwJjZoDG8N8Y
OxcGpp+WGbdIOTKsQsBiUK6FlywWCgvX7MPbSWquZDZfWWYflFa6p1lEdloOxVE4+SNp96sumkYm
i7kP1xolVdUe9NLqF2OQH4mpWQ8Ta0DPtLPtx1dDiEdNRbIwpu+5SgdnqJ/siwZ/VI27IjV5Dpoc
JKzCY03q2rKp6TnOUXslFcpJvyjm6HWaDfTjCWW8b8/ZUp/gOvZG6zPRe4cRuaXFSTvR6l7DqNjJ
rfKJyfdDH2mr2kk33EJ0NZhsGkBgw0BZmg1ZC0gg1jPckIVB4LAaIqqJQtUEpUgVX009HP70BS0G
00JzmNx4LinTNRI7TK7JGRWHFebrjF3DhizOT2OivnUVYjgHXvxZHt/HriFpdjdC5+ZxvbCCk2G8
Ka03y4+yvUS/sLCVl1qKuGVQdDG0mhovVJ8CaLt1/6DU+qKWPpDVeTHTjGY7xrT25cpDY+4aMqGM
/T5gEBFoqwmfb5TIXovoclpaaeDa5N9OtDEtv2cBqVAlzLSsr3QezcycKYhQK6GbiwOPwAQufFI/
0YgBTg9f0/Rlplcf09IY1dGt2cSosew7+s1cXVv9GuwpM5yahsKyU+/YW4bxk63NzJuRfw9+Hj90
uAtkJz4NIBdIKMB+sEkS2zOq/tiDEInG23JmJX1qbBNdwLK1fU3SPHVa53QJpo7+9D6kCYOMhdbo
qzUMRzG82/FtP6DL19yig/UbbGau2LZ9nq3JTRJQ54l27Kh/dOcqtCSWCnHfdjzalJzR78jkkkjS
9HWywAAPH2mivATDe4DAG5R3PRTeHG5Bgi8mSVmOCdfsc9AeA6TMkTm6OW4Nx6lfU8gAciMZC7YX
7jzubUnbSIG44mnx1EgJHwOiypFJuaxX69IAAj0ikezATNkQtdG3MetSjzQWcDiYVzpQc6c015NG
/aIKZxugR5RmNixqzPYovucec/vEjLkmY+CEaCiE7FnlhV+arLWcC4DSfiLQI6AIpwOBGML2i8a+
zsd4WfQ3VU+vYlb9fE69KbWhZcvJOUSUOynRqpZKmjzAxE3ieImVsCJtS/6fR48G+mmwqMP+xuAB
NyHsQ7Lhy3aANCnfJNzhtgpc6wIxiEAJhkx/2DNuHJTleaDe2enMkmJWx8q0eRjUPZFbmfpkGBS1
scZ2bSIUgAC5BfIFT2WXn405ilfY2rWCVjVoWwSTPd3SASQjOOiFasfLfy/LeEa+Go9rI8xfUuj+
ZqHf/Ts1YBEA7MehZGMatNNtq8R/4tv4raLcdBxC1y50LTbeP1pHZOIPqj6OpnWJMHpai/RPZPPm
j1JyrCnf2g4u3//GsBF3ap2Y8DzXxZMFg/Y1Gf3wT3xWv30LpLtjcdT4PWDn7B8MUJB60GYSMLPm
wwOxSLHwWXT/P+NivxzlrawmmiVRi4P661G9l/bluz8AasaHd9V91NP1R9Nl7S9m68tP/tVv/tvH
56P8WRQiaCmIH5dEsn/tSr+Zsuij/daLjm3ol3/2NQ1R/ZkLQ1V1A2ssaCydA35JQ3Tknx2QVcDQ
LJ7dX7zpv6QhGj+r2M4tmKe4Z/QLwKv5Goao/3y5xDDOW/wE9hD97xjQNfzq35kUoP1xvVo46xQL
izwZA99fWbQF5jyZWMTGeSIffcyTuz6Sp11sEAcF/T5ZWVGcLiMo+oztpuAhDxRrbSJcv6Ol2D2Y
A5E+PKSpKqA99r7g/fhJSxKh2wFs99I8sd0ooMknRuQ/bNApHdN29GC60OJLLp7QwSrX0DrIRZYC
rPDz25zMOWxh0J4n/RJeR+csvkonZ17MNVxpgbL6RIbidhg6zS1HPfWlwSLvFmfOlTHOzlGaGPmZ
Y0d7rBhVj1h2gxUjTphqwyQIt6pCGHxTVr1P4zN4Qg7ADNLOBkrqIh58ku+JsYj7/F7GzL0aI+du
lFMmNPzjdeHkHAA8z01oNvcUVTT9E91eZcGcXFsolXatnATkYrTVoS/SdhUVyS3BGgzVRgySeqL0
W1PS61OBa2lZ6eGwQVSZ0WvvspNqSJJnmAzrQ1mtznOqxt0iJ+J0k4hSHGrC2fcpKtIl8yprY4Va
xcif5CNYlFZ2Ywyij5eWQDg/qomx7wB0lYMx3hqVcwlVVjpKL3iTLkUyHWAomuFSj+xhKavC3EB7
7ldxHj868OSXIaE7qB/qF5N98w3pDo0X2+C62yLEHGEzGQ9DqjHFNumsOnPHJ2+UAA0REVk06Cw5
28olygRQgtkGikxL4wPBZKcjE7Hz6hjHnJmaEcRErbgCREiAvDkm9BI19QWQRuAPkVQfq1TSXuxZ
6c9sCRBRtLBUx9QcTmzNFZd4Hg45Dw9D2YttGidnRsvBMo1F8mwZcvdoDvl4KAvK0qiONwzndwK1
n6+EEITZ8aRLR6PisabnWuGvk+LCtW7t0jN7srYtSe18pmTt3tSFjTKnl1DhmzqjKWb/c92zKR2B
8D0HHde3qSoXnWFWgWE11iJrCRxrLw1CBw6+GpnNM9BSssDthhmq32oXcWgzDVdpQtRBlPBsM42c
LknIGFZ6wvBgvIh2+giG8tTWQXXdDoHmTtlUPRkmDVmtxq4ToQkAaW/Uq6JDEqw5Sb9JHZT9mWpQ
ZllYR3PMs7zqjIm7w/1I+lnmi6AItkkajHSzS4TrXUMcNBrdPbxfcY5Q4nOT1rgtFGDx1+xsEt9E
COphnGDIHRAQ8hT1Q3qqYhQmoE9Mjs0mIZim7j22zfgywZ7u51prluowJP2X0ZtEa29X6XV8W+QF
NhaTRG7EJACICd+yPS6MjMwg5EsqiJoNuIKRRYVhB14aflpWHFR0oTJ70WSQqpKUo1hgMGtcdljt
Mles8hCIXkk9Ox2Ld0kv6TrEjLexNFgGgfdtxD5XDaj+Cs0ftZlJuJgsb7LR3wk5pEvSidBeZs3Y
7DojY9QZxmhbZ9JyNlU001hEbBdbtEcatau3JgbahaaoMxM4QedCMrVtSPXj1YOZXyta+Ng79U2d
psgHp+EoV3p6NZJ0sDLp17lB24fLWiNAyiyo4R2nCF0pZhJoxk+WolMWDq366lRWOi/STrtKHIux
SUIzPhzpv9CVvA+MVnKVwr42wx68R15IbtqH+0hLDmgoT6Ko7vR53CjFgLa7ZR+HMtpiUU3He9pw
FX0WCzJEVYplS87RVquFvtJyBmtxbYdbx0RtpTvam1F1U77MpUqBvp6gIoZ6hEwbY7CZ9d3RjgTR
tg5Dfobx7L8aKR/dTmiSX6hFtchCMjFKIWU70+opjWGVl5s6UsabSmJwMTXkfPRdXR/7ePIHuk2N
PLYs2upD5mTJg43gdgXWPzyFxqxeS4UwtS9MgP+ZuuTbsuQ//j/RdUCI0Ygzedr/6+Ll+iVpopco
/q58+fXf/ZOfQ/gJQkFYXZj7L5Scr1nO8HOguOLlhM2uXsqXf/JzqF4s3J2OdfkfkcQ4I38pX7Sf
oTdewoNB7hBaJdt/p3wx7N96LOHz4GLFyWmwoOs/VK2J2pdGJZu0nAn84vmBuzBhd123j6Z0GeeR
/zLbKFcxm+4p3eKFGuWfQrKhKNaa5aS3OBBLhfQoHs/YyVjI8orLUpujDQBLV2+CfSchUcmLjqmZ
DFyKokBE0xsr+XbKSUAIamwhVcky1WfTJ0ZR6xQrFXgHFyQqW2NcWHpvZl5g3fXOrW6Ej5FkkY1B
oqc5Po1W+4n50i1mGWto/VqStrVQjy35hkrXnQW04m1fXyRoYZL7fdPorpNoEytbK4ebItVzgl+a
9uJ9VOk3ecrcZldAjicdlpCKD4/h03sTSPNSFVm87PLM2sIF6wyPMEPupTaui6tgGtBOOsH8LgeK
8g6QLLrRRW+mGLjS6h65UecRI5f7s9qk18zMVHoMqXwmz1FDqUT2yXLWu3xFyuF4TBKLoaOphmcE
zZHXzX3sywRvrfioFK+u1StUSnsnzfap1uDAPZp6ToYYHcRMbqmajBz8rxPbiJ7LblGnSK5nAOty
Pd4TvYenW8WE1jhXpTwtA8PcBH2Ng/Eu1+3XoJMXRhKdQ+k9nm71JNjYsekyPaQ1QSl9imNGBG21
muP5KqmHk4xpazDHB4W2Ia7Iva481HFxi4Y6rB2fR5QHCfO6Cz9EGfmBcx9I4Hps2JChxWpaEMva
3cuxuYta1Kr6u6X3fs/zkV4ewYFE0HTasmOiF6OfSWZ9ZQ114IXRTRGiHrpsiFU/laPHYpA2rRNU
C2vKz51J86We72oSw90BGWLTVV4X1vc5LLYtzNqVfTFOKiclnnbprFBTtp/0Rrui40rx2wwgiQyS
QCblBUkOKZ/jspKUVY4SrpZCHwIg5svuHk3mIbNtyZ1TouRChWRFDYPKxjbYWc4pzP5oxBZNruZi
DMdD2tCYnHH1tYkSr8MpPWqjfRzthllRLt4yp9O8RhtUhvnNRmqtN+Vyc2Wx5xgfsCjfFfVTKsk9
yoRmHcXWKuOl8KjeUqkwWsXAO0RDspDz4dFuFQrsGpmcduNU0mHSFPJiM/JXKfDdvjH9OA+WZBfh
Xcj65yDBlVTTDQpRvjDbt06h5ASeSKyS/r+dYxiwuTykGUNsAyefkU8BXsNo2uAD7ae6gBZrImiw
k1fS9XoaNlqyklouPKQnlhsmjbaYyQTzgUWzvkQR1ll7BhQT6NEKRhSvojO062rI+pWsQt6Vwh4y
HVY1RrBT+6nQkZhMylTuEBzGJyVLDe6IpkKQFNnraKrKT1nTm+x8GHC/IkoPdmpcUZKp7Hv8RM8V
PxycFsG0HB9MIac+egc0xjPSwg4wyEGrMmdDEBi91UuDlGq3PEaVUt8MWkDDZm7HI0NVcs1S5Aty
Hg5+lUv1smwaujGpSnusIifXqyMIL0xg5jschQADMUOeOT2tZ5J39pTJcbTCy0kXp4RRdOgRA/gZ
FYfLVBrhklb3PmZfJjk5sT2OnWa+g0nm1Az57GVZEHtaGolDJzcfnYHmUetMeWkEUrtUeIU4G5iP
OLzfvhmGTWEP6hEFHhAp+vIlbS8bxVVIzsKzjAPUT7qKDJTOcnxTkzbweZ404DloNAd076TYciIA
aNL+cm4DSTJesJB0B1POzas6xJgz54z0Z9xMrjCQWeT61G/MAiceaZ7GUo8V7YR5Ya9qqEC0Qp98
K5DyWy0Mgo2T6PPBMhJWsEburkpVjlKX1Q6LWRXHtlsqWr5sy8r4FDqkX+R6C0o2cRpPqy8aAYLq
Fo12NNqRyLzLXsbW8Vd1U4uuWxcwIOVSXCuBMTEF6ay9pDIaaNP0DgXG7MMikzzYE/FilMW+Ta0V
DzLFl7oQqQgD8LhmBpiBFxuEEroZ+bFBt22FYu9ye/a6qEXpJFnuQGdeLWVX57dyzgvn2ckxLZah
9tHjH2NM6eSukrbYg8c+8/VKLnlwMezT8rK6SULUv6RLMFvVAmNdzUR9dW1DKlzUmDwXWu1aWLBk
9d6QD2lgaGQLiyv6HG5dIwnMQge5kma1qzibNNeWWoFyIrwrZ7SrMtcL+rRm3Xck8cbDtDBIJVnj
OyQC0MbtkZKPJCnqg5RNvFUN2YMpp9FKjKgCHKP7aFPWEYMhWMmTYc0CkCxGknvZFp0ShzA1M7Lo
XMYoy6uBaWMj+uxQNZK+7UgZXmuj+tQ6R+Rkld+3MhM6rXpmqJofqt66HrDq6/gdcd8iWFKZfgnL
kpZtZCsP85i1vZsG+vyWmTgKF1kcIQweEPPEy1SNSDTDvYz0RidVbaCjirgSM7uVBJbhDyIp0qUI
Alq/RuDAfoOgZuyjeZ528BBh242lXWwhx3NCrLbgb4MUUXnLXnMLAkCnXyvTfyDvyatRXi9S5uPE
yemUEr3Ijo5AjiW4k/1GqOJNCULaAAbOu9TNcEzrC8KVGszsSkwKbCn35KeUc3/jiKEiM7lylsS/
pqfOKTKcnWqF9LLT6GMMaHzVbghwricFZiBzvoliu7B8Gk20vmdFxAZy5Tl6Tku7Ptuin3wlbi12
56GFBP5iO6pQFVRjdlbMqjsmrPfvdkVOYVRcbG0it48qWVVvztiZpyEeqn1bRMa6cXrQ4Ex2WgD6
Co+FeWyJ8cp5yhkBA7zo5SLgapTTVPKQ1Qa3Uq2TjYRb1DJdKqTkZaWeqGWNUyzCnZRao5sa+jEa
Bka0lcU4WWHXadISGXV01BN/GC3RruMu1ZFnxFhZiNkM8jy7ShKR+R3X2LOdmVeRWR/NGZdKm0eS
W6rxyEyL+SADXgvnRB9535Tqv8N1/KFvxxDb1mDosizrRL9AH/m+bxeywa/x7Iu1HaTXyABu5zDf
Fs6fxVJR3v/AMLGp32loA5BUDaA33/8ahGLmUI9EIZXq/B7X2ha64P3ffyefm+aOqYKF+ZESVFi5
msEkFOsmkFeJgsBeiPkMIPbPkCy/d8q+/UU/tDqHspylIhgFFur4CbXXEeXDoiSY9b/3fn44Za2U
UGVV/BpklzLtMmtTE/+rZ531Zef6HU30D9GeXAKwudhFcSGw07rsjb4ZCoQqIZ4YGclQgXq7m8JW
2ffN+JWZ97f2x7dlzv8/d+V/7dJ/7rz/80//cnP83RZ69VEeX/KP5sdDXV7Nr8f6e/3/r2/kdwcA
v7JYL989Exvf3pa/mRL8pR/6ds7w2wP9tYmCpcPJ/EPi7ecjf55u/NERsxeGIN37xz9+Uo2fmSnI
sqyQC/v566d/y8oi/PrtCzqK7f83Z+i3L/23Y5T/2s/80Qv+Mm/ZvP/jp69tCVaZ79oSf/t9X4Yg
gCVJPPjuDTNRUS59D7BZnBS+aAf8r5yAt7Ir2suMKvwBVaxyk/6Vt/7DAb75yGmgWLomY8b9vY+c
M8AyrQI2Ax52+QL4/r9yBl7eyUr04gZ67Vv7XYfp64Dsx9bU374GmKtptJ/I6fvyTrnYv7n2Lyfi
Eo0G6evLt1mG/4+diC+ttr94QfxwPr+5IDgPPAWorH7/PCg/g6vTgCh+vV7+752Hf05M/8qd8a9P
hP4zsQKqfMHnfvn6/oJQfjZNYuM0HX/K5etvnIi/sIL++hTBSZi9f37IxB/Adz5+mVT/6Q/88oj5
7QG+rq2XBZT147ufuwyxvxz5yyJ7+fN/fHeKPi//33zzl8fB51/z9Z9/fX+//c3f/a5f3tQvf7mO
P+qXmuCEz9+Yvr7Ky/P9Hz+50UvblmH9kn937/96yf/zBf3jp+9e7jfL4x8d34te0pffOTRPlv/u
of+kLf6vtQP/KXjqxedw74zSnDxsLge2Ril1Of7VCBQ63CkReKrVkcYcmDPB1TmiLKfU7aSf74/X
P9hSNLwlhJnOYa0gbNpQ8zBIRXJOamKRHQAAAP//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390525</xdr:colOff>
      <xdr:row>1</xdr:row>
      <xdr:rowOff>171449</xdr:rowOff>
    </xdr:from>
    <xdr:to>
      <xdr:col>8</xdr:col>
      <xdr:colOff>196851</xdr:colOff>
      <xdr:row>5</xdr:row>
      <xdr:rowOff>126999</xdr:rowOff>
    </xdr:to>
    <xdr:grpSp>
      <xdr:nvGrpSpPr>
        <xdr:cNvPr id="5" name="Group 4">
          <a:extLst>
            <a:ext uri="{FF2B5EF4-FFF2-40B4-BE49-F238E27FC236}">
              <a16:creationId xmlns:a16="http://schemas.microsoft.com/office/drawing/2014/main" id="{44327B07-3436-466C-A41E-6D2A5CD1573E}"/>
            </a:ext>
          </a:extLst>
        </xdr:cNvPr>
        <xdr:cNvGrpSpPr/>
      </xdr:nvGrpSpPr>
      <xdr:grpSpPr>
        <a:xfrm>
          <a:off x="4151679" y="350552"/>
          <a:ext cx="2435877" cy="745229"/>
          <a:chOff x="4302125" y="241299"/>
          <a:chExt cx="1040878" cy="1158876"/>
        </a:xfrm>
      </xdr:grpSpPr>
      <xdr:sp macro="" textlink="">
        <xdr:nvSpPr>
          <xdr:cNvPr id="2" name="Rectangle: Top Corners Rounded 1">
            <a:extLst>
              <a:ext uri="{FF2B5EF4-FFF2-40B4-BE49-F238E27FC236}">
                <a16:creationId xmlns:a16="http://schemas.microsoft.com/office/drawing/2014/main" id="{C25A7DD1-0835-44C3-8B5F-CF25F07D0F31}"/>
              </a:ext>
            </a:extLst>
          </xdr:cNvPr>
          <xdr:cNvSpPr/>
        </xdr:nvSpPr>
        <xdr:spPr>
          <a:xfrm rot="16200000">
            <a:off x="3949700" y="596900"/>
            <a:ext cx="1155700" cy="450850"/>
          </a:xfrm>
          <a:prstGeom prst="round2Same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E46046F6-9223-4B7C-9B57-93ADE4B78BAE}"/>
              </a:ext>
            </a:extLst>
          </xdr:cNvPr>
          <xdr:cNvSpPr/>
        </xdr:nvSpPr>
        <xdr:spPr>
          <a:xfrm rot="16200000">
            <a:off x="4365102" y="419100"/>
            <a:ext cx="1155701" cy="800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298450</xdr:colOff>
      <xdr:row>1</xdr:row>
      <xdr:rowOff>171450</xdr:rowOff>
    </xdr:from>
    <xdr:to>
      <xdr:col>11</xdr:col>
      <xdr:colOff>111125</xdr:colOff>
      <xdr:row>5</xdr:row>
      <xdr:rowOff>126999</xdr:rowOff>
    </xdr:to>
    <xdr:grpSp>
      <xdr:nvGrpSpPr>
        <xdr:cNvPr id="9" name="Group 8">
          <a:extLst>
            <a:ext uri="{FF2B5EF4-FFF2-40B4-BE49-F238E27FC236}">
              <a16:creationId xmlns:a16="http://schemas.microsoft.com/office/drawing/2014/main" id="{A4C80EBC-A456-453F-82AE-1C62EDC4A841}"/>
            </a:ext>
          </a:extLst>
        </xdr:cNvPr>
        <xdr:cNvGrpSpPr/>
      </xdr:nvGrpSpPr>
      <xdr:grpSpPr>
        <a:xfrm>
          <a:off x="6689155" y="350553"/>
          <a:ext cx="1790944" cy="745228"/>
          <a:chOff x="4302125" y="241300"/>
          <a:chExt cx="1044575" cy="1158875"/>
        </a:xfrm>
      </xdr:grpSpPr>
      <xdr:sp macro="" textlink="">
        <xdr:nvSpPr>
          <xdr:cNvPr id="10" name="Rectangle: Top Corners Rounded 9">
            <a:extLst>
              <a:ext uri="{FF2B5EF4-FFF2-40B4-BE49-F238E27FC236}">
                <a16:creationId xmlns:a16="http://schemas.microsoft.com/office/drawing/2014/main" id="{2E165486-34EB-4413-B307-7FD4841E1681}"/>
              </a:ext>
            </a:extLst>
          </xdr:cNvPr>
          <xdr:cNvSpPr/>
        </xdr:nvSpPr>
        <xdr:spPr>
          <a:xfrm rot="16200000">
            <a:off x="3949700" y="596900"/>
            <a:ext cx="1155700" cy="450850"/>
          </a:xfrm>
          <a:prstGeom prst="round2Same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Top Corners Rounded 10">
            <a:extLst>
              <a:ext uri="{FF2B5EF4-FFF2-40B4-BE49-F238E27FC236}">
                <a16:creationId xmlns:a16="http://schemas.microsoft.com/office/drawing/2014/main" id="{B6ECEA2F-74CF-4C2B-9433-F37930BEAECB}"/>
              </a:ext>
            </a:extLst>
          </xdr:cNvPr>
          <xdr:cNvSpPr/>
        </xdr:nvSpPr>
        <xdr:spPr>
          <a:xfrm rot="16200000">
            <a:off x="4368800" y="419100"/>
            <a:ext cx="1155700" cy="800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222250</xdr:colOff>
      <xdr:row>1</xdr:row>
      <xdr:rowOff>171450</xdr:rowOff>
    </xdr:from>
    <xdr:to>
      <xdr:col>14</xdr:col>
      <xdr:colOff>34925</xdr:colOff>
      <xdr:row>5</xdr:row>
      <xdr:rowOff>126999</xdr:rowOff>
    </xdr:to>
    <xdr:grpSp>
      <xdr:nvGrpSpPr>
        <xdr:cNvPr id="15" name="Group 14">
          <a:extLst>
            <a:ext uri="{FF2B5EF4-FFF2-40B4-BE49-F238E27FC236}">
              <a16:creationId xmlns:a16="http://schemas.microsoft.com/office/drawing/2014/main" id="{6DF1EF8A-AEE3-4B80-9C0A-88C7CDFE3FB6}"/>
            </a:ext>
          </a:extLst>
        </xdr:cNvPr>
        <xdr:cNvGrpSpPr/>
      </xdr:nvGrpSpPr>
      <xdr:grpSpPr>
        <a:xfrm>
          <a:off x="8591224" y="350553"/>
          <a:ext cx="1790945" cy="745228"/>
          <a:chOff x="4302125" y="241300"/>
          <a:chExt cx="1044575" cy="1158875"/>
        </a:xfrm>
      </xdr:grpSpPr>
      <xdr:sp macro="" textlink="">
        <xdr:nvSpPr>
          <xdr:cNvPr id="16" name="Rectangle: Top Corners Rounded 15">
            <a:extLst>
              <a:ext uri="{FF2B5EF4-FFF2-40B4-BE49-F238E27FC236}">
                <a16:creationId xmlns:a16="http://schemas.microsoft.com/office/drawing/2014/main" id="{8FA7CC55-1E0D-4885-9A41-D301BB8CB319}"/>
              </a:ext>
            </a:extLst>
          </xdr:cNvPr>
          <xdr:cNvSpPr/>
        </xdr:nvSpPr>
        <xdr:spPr>
          <a:xfrm rot="16200000">
            <a:off x="3949700" y="596900"/>
            <a:ext cx="1155700" cy="450850"/>
          </a:xfrm>
          <a:prstGeom prst="round2Same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Top Corners Rounded 16">
            <a:extLst>
              <a:ext uri="{FF2B5EF4-FFF2-40B4-BE49-F238E27FC236}">
                <a16:creationId xmlns:a16="http://schemas.microsoft.com/office/drawing/2014/main" id="{1DD608C4-F285-42D3-BCBD-16BBCBD66CB8}"/>
              </a:ext>
            </a:extLst>
          </xdr:cNvPr>
          <xdr:cNvSpPr/>
        </xdr:nvSpPr>
        <xdr:spPr>
          <a:xfrm rot="16200000">
            <a:off x="4368800" y="419100"/>
            <a:ext cx="1155700" cy="800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14</xdr:col>
      <xdr:colOff>127000</xdr:colOff>
      <xdr:row>1</xdr:row>
      <xdr:rowOff>171450</xdr:rowOff>
    </xdr:from>
    <xdr:to>
      <xdr:col>16</xdr:col>
      <xdr:colOff>600075</xdr:colOff>
      <xdr:row>5</xdr:row>
      <xdr:rowOff>126999</xdr:rowOff>
    </xdr:to>
    <xdr:grpSp>
      <xdr:nvGrpSpPr>
        <xdr:cNvPr id="21" name="Group 20">
          <a:extLst>
            <a:ext uri="{FF2B5EF4-FFF2-40B4-BE49-F238E27FC236}">
              <a16:creationId xmlns:a16="http://schemas.microsoft.com/office/drawing/2014/main" id="{A28D5B0E-07AC-4A24-A635-CD987E63EB6A}"/>
            </a:ext>
          </a:extLst>
        </xdr:cNvPr>
        <xdr:cNvGrpSpPr/>
      </xdr:nvGrpSpPr>
      <xdr:grpSpPr>
        <a:xfrm>
          <a:off x="10474244" y="350553"/>
          <a:ext cx="1791921" cy="745228"/>
          <a:chOff x="4302125" y="241300"/>
          <a:chExt cx="1044575" cy="1158875"/>
        </a:xfrm>
      </xdr:grpSpPr>
      <xdr:sp macro="" textlink="">
        <xdr:nvSpPr>
          <xdr:cNvPr id="22" name="Rectangle: Top Corners Rounded 21">
            <a:extLst>
              <a:ext uri="{FF2B5EF4-FFF2-40B4-BE49-F238E27FC236}">
                <a16:creationId xmlns:a16="http://schemas.microsoft.com/office/drawing/2014/main" id="{39C77ACF-EA6C-41AD-8A8A-99B1466FB878}"/>
              </a:ext>
            </a:extLst>
          </xdr:cNvPr>
          <xdr:cNvSpPr/>
        </xdr:nvSpPr>
        <xdr:spPr>
          <a:xfrm rot="16200000">
            <a:off x="3949700" y="596900"/>
            <a:ext cx="1155700" cy="450850"/>
          </a:xfrm>
          <a:prstGeom prst="round2Same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Top Corners Rounded 22">
            <a:extLst>
              <a:ext uri="{FF2B5EF4-FFF2-40B4-BE49-F238E27FC236}">
                <a16:creationId xmlns:a16="http://schemas.microsoft.com/office/drawing/2014/main" id="{A505C96A-9F92-4191-BC5E-E7E4688310F9}"/>
              </a:ext>
            </a:extLst>
          </xdr:cNvPr>
          <xdr:cNvSpPr/>
        </xdr:nvSpPr>
        <xdr:spPr>
          <a:xfrm rot="16200000">
            <a:off x="4368800" y="419100"/>
            <a:ext cx="1155700" cy="800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5</xdr:col>
      <xdr:colOff>387350</xdr:colOff>
      <xdr:row>2</xdr:row>
      <xdr:rowOff>76200</xdr:rowOff>
    </xdr:from>
    <xdr:to>
      <xdr:col>5</xdr:col>
      <xdr:colOff>835869</xdr:colOff>
      <xdr:row>4</xdr:row>
      <xdr:rowOff>114300</xdr:rowOff>
    </xdr:to>
    <xdr:pic>
      <xdr:nvPicPr>
        <xdr:cNvPr id="33" name="Graphic 32" descr="Receiver with solid fill">
          <a:extLst>
            <a:ext uri="{FF2B5EF4-FFF2-40B4-BE49-F238E27FC236}">
              <a16:creationId xmlns:a16="http://schemas.microsoft.com/office/drawing/2014/main" id="{D45E8058-F431-41FF-8D1C-5EAFAA4D9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89350" y="508000"/>
          <a:ext cx="448519" cy="393700"/>
        </a:xfrm>
        <a:prstGeom prst="rect">
          <a:avLst/>
        </a:prstGeom>
      </xdr:spPr>
    </xdr:pic>
    <xdr:clientData/>
  </xdr:twoCellAnchor>
  <xdr:twoCellAnchor editAs="oneCell">
    <xdr:from>
      <xdr:col>11</xdr:col>
      <xdr:colOff>234950</xdr:colOff>
      <xdr:row>2</xdr:row>
      <xdr:rowOff>12700</xdr:rowOff>
    </xdr:from>
    <xdr:to>
      <xdr:col>12</xdr:col>
      <xdr:colOff>63500</xdr:colOff>
      <xdr:row>4</xdr:row>
      <xdr:rowOff>146050</xdr:rowOff>
    </xdr:to>
    <xdr:pic>
      <xdr:nvPicPr>
        <xdr:cNvPr id="35" name="Graphic 34" descr="Bullseye with solid fill">
          <a:extLst>
            <a:ext uri="{FF2B5EF4-FFF2-40B4-BE49-F238E27FC236}">
              <a16:creationId xmlns:a16="http://schemas.microsoft.com/office/drawing/2014/main" id="{E03C0E9B-8E9A-42D9-B587-4E95F325E7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499350" y="444500"/>
          <a:ext cx="488950" cy="488950"/>
        </a:xfrm>
        <a:prstGeom prst="rect">
          <a:avLst/>
        </a:prstGeom>
      </xdr:spPr>
    </xdr:pic>
    <xdr:clientData/>
  </xdr:twoCellAnchor>
  <xdr:twoCellAnchor editAs="oneCell">
    <xdr:from>
      <xdr:col>8</xdr:col>
      <xdr:colOff>298450</xdr:colOff>
      <xdr:row>1</xdr:row>
      <xdr:rowOff>247650</xdr:rowOff>
    </xdr:from>
    <xdr:to>
      <xdr:col>9</xdr:col>
      <xdr:colOff>165100</xdr:colOff>
      <xdr:row>4</xdr:row>
      <xdr:rowOff>165100</xdr:rowOff>
    </xdr:to>
    <xdr:pic>
      <xdr:nvPicPr>
        <xdr:cNvPr id="37" name="Graphic 36" descr="Target Audience with solid fill">
          <a:extLst>
            <a:ext uri="{FF2B5EF4-FFF2-40B4-BE49-F238E27FC236}">
              <a16:creationId xmlns:a16="http://schemas.microsoft.com/office/drawing/2014/main" id="{FA874077-5E12-49DD-BA6B-641A862B71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81650" y="425450"/>
          <a:ext cx="527050" cy="527050"/>
        </a:xfrm>
        <a:prstGeom prst="rect">
          <a:avLst/>
        </a:prstGeom>
      </xdr:spPr>
    </xdr:pic>
    <xdr:clientData/>
  </xdr:twoCellAnchor>
  <xdr:twoCellAnchor editAs="oneCell">
    <xdr:from>
      <xdr:col>14</xdr:col>
      <xdr:colOff>123927</xdr:colOff>
      <xdr:row>2</xdr:row>
      <xdr:rowOff>69850</xdr:rowOff>
    </xdr:from>
    <xdr:to>
      <xdr:col>14</xdr:col>
      <xdr:colOff>657561</xdr:colOff>
      <xdr:row>4</xdr:row>
      <xdr:rowOff>63500</xdr:rowOff>
    </xdr:to>
    <xdr:pic>
      <xdr:nvPicPr>
        <xdr:cNvPr id="39" name="Graphic 38" descr="Money with solid fill">
          <a:extLst>
            <a:ext uri="{FF2B5EF4-FFF2-40B4-BE49-F238E27FC236}">
              <a16:creationId xmlns:a16="http://schemas.microsoft.com/office/drawing/2014/main" id="{A43EC3CC-4D84-4BDF-AE01-E551D07204A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369527" y="501650"/>
          <a:ext cx="533634" cy="349250"/>
        </a:xfrm>
        <a:prstGeom prst="rect">
          <a:avLst/>
        </a:prstGeom>
      </xdr:spPr>
    </xdr:pic>
    <xdr:clientData/>
  </xdr:twoCellAnchor>
  <xdr:twoCellAnchor>
    <xdr:from>
      <xdr:col>6</xdr:col>
      <xdr:colOff>279400</xdr:colOff>
      <xdr:row>2</xdr:row>
      <xdr:rowOff>12700</xdr:rowOff>
    </xdr:from>
    <xdr:to>
      <xdr:col>6</xdr:col>
      <xdr:colOff>285750</xdr:colOff>
      <xdr:row>5</xdr:row>
      <xdr:rowOff>57150</xdr:rowOff>
    </xdr:to>
    <xdr:cxnSp macro="">
      <xdr:nvCxnSpPr>
        <xdr:cNvPr id="41" name="Straight Connector 40">
          <a:extLst>
            <a:ext uri="{FF2B5EF4-FFF2-40B4-BE49-F238E27FC236}">
              <a16:creationId xmlns:a16="http://schemas.microsoft.com/office/drawing/2014/main" id="{D9F02FD0-6DD0-48A6-AF24-A10312D50732}"/>
            </a:ext>
          </a:extLst>
        </xdr:cNvPr>
        <xdr:cNvCxnSpPr/>
      </xdr:nvCxnSpPr>
      <xdr:spPr>
        <a:xfrm>
          <a:off x="4241800" y="44450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8</xdr:col>
      <xdr:colOff>298450</xdr:colOff>
      <xdr:row>1</xdr:row>
      <xdr:rowOff>171450</xdr:rowOff>
    </xdr:from>
    <xdr:to>
      <xdr:col>8</xdr:col>
      <xdr:colOff>304800</xdr:colOff>
      <xdr:row>4</xdr:row>
      <xdr:rowOff>139700</xdr:rowOff>
    </xdr:to>
    <xdr:cxnSp macro="">
      <xdr:nvCxnSpPr>
        <xdr:cNvPr id="42" name="Straight Connector 41">
          <a:extLst>
            <a:ext uri="{FF2B5EF4-FFF2-40B4-BE49-F238E27FC236}">
              <a16:creationId xmlns:a16="http://schemas.microsoft.com/office/drawing/2014/main" id="{4E56D1EE-B319-4FD3-9452-5D83D5B39E28}"/>
            </a:ext>
          </a:extLst>
        </xdr:cNvPr>
        <xdr:cNvCxnSpPr/>
      </xdr:nvCxnSpPr>
      <xdr:spPr>
        <a:xfrm>
          <a:off x="5581650" y="34925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9</xdr:col>
      <xdr:colOff>222250</xdr:colOff>
      <xdr:row>2</xdr:row>
      <xdr:rowOff>0</xdr:rowOff>
    </xdr:from>
    <xdr:to>
      <xdr:col>9</xdr:col>
      <xdr:colOff>228600</xdr:colOff>
      <xdr:row>5</xdr:row>
      <xdr:rowOff>44450</xdr:rowOff>
    </xdr:to>
    <xdr:cxnSp macro="">
      <xdr:nvCxnSpPr>
        <xdr:cNvPr id="44" name="Straight Connector 43">
          <a:extLst>
            <a:ext uri="{FF2B5EF4-FFF2-40B4-BE49-F238E27FC236}">
              <a16:creationId xmlns:a16="http://schemas.microsoft.com/office/drawing/2014/main" id="{6F2EC580-FF43-4901-8FE9-74C000A915F2}"/>
            </a:ext>
          </a:extLst>
        </xdr:cNvPr>
        <xdr:cNvCxnSpPr/>
      </xdr:nvCxnSpPr>
      <xdr:spPr>
        <a:xfrm>
          <a:off x="6165850" y="43180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11</xdr:col>
      <xdr:colOff>222250</xdr:colOff>
      <xdr:row>1</xdr:row>
      <xdr:rowOff>171450</xdr:rowOff>
    </xdr:from>
    <xdr:to>
      <xdr:col>11</xdr:col>
      <xdr:colOff>228600</xdr:colOff>
      <xdr:row>4</xdr:row>
      <xdr:rowOff>139700</xdr:rowOff>
    </xdr:to>
    <xdr:cxnSp macro="">
      <xdr:nvCxnSpPr>
        <xdr:cNvPr id="48" name="Straight Connector 47">
          <a:extLst>
            <a:ext uri="{FF2B5EF4-FFF2-40B4-BE49-F238E27FC236}">
              <a16:creationId xmlns:a16="http://schemas.microsoft.com/office/drawing/2014/main" id="{A849E39B-DC44-4B05-9396-9D9D1C8822BC}"/>
            </a:ext>
          </a:extLst>
        </xdr:cNvPr>
        <xdr:cNvCxnSpPr/>
      </xdr:nvCxnSpPr>
      <xdr:spPr>
        <a:xfrm>
          <a:off x="7486650" y="34925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12</xdr:col>
      <xdr:colOff>120650</xdr:colOff>
      <xdr:row>2</xdr:row>
      <xdr:rowOff>12700</xdr:rowOff>
    </xdr:from>
    <xdr:to>
      <xdr:col>12</xdr:col>
      <xdr:colOff>127000</xdr:colOff>
      <xdr:row>5</xdr:row>
      <xdr:rowOff>57150</xdr:rowOff>
    </xdr:to>
    <xdr:cxnSp macro="">
      <xdr:nvCxnSpPr>
        <xdr:cNvPr id="50" name="Straight Connector 49">
          <a:extLst>
            <a:ext uri="{FF2B5EF4-FFF2-40B4-BE49-F238E27FC236}">
              <a16:creationId xmlns:a16="http://schemas.microsoft.com/office/drawing/2014/main" id="{9A7AA71C-8AED-4CD3-BE89-3A89B930D2CC}"/>
            </a:ext>
          </a:extLst>
        </xdr:cNvPr>
        <xdr:cNvCxnSpPr/>
      </xdr:nvCxnSpPr>
      <xdr:spPr>
        <a:xfrm>
          <a:off x="8045450" y="44450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15</xdr:col>
      <xdr:colOff>50800</xdr:colOff>
      <xdr:row>2</xdr:row>
      <xdr:rowOff>38100</xdr:rowOff>
    </xdr:from>
    <xdr:to>
      <xdr:col>15</xdr:col>
      <xdr:colOff>57150</xdr:colOff>
      <xdr:row>5</xdr:row>
      <xdr:rowOff>82550</xdr:rowOff>
    </xdr:to>
    <xdr:cxnSp macro="">
      <xdr:nvCxnSpPr>
        <xdr:cNvPr id="52" name="Straight Connector 51">
          <a:extLst>
            <a:ext uri="{FF2B5EF4-FFF2-40B4-BE49-F238E27FC236}">
              <a16:creationId xmlns:a16="http://schemas.microsoft.com/office/drawing/2014/main" id="{1C74552A-F20E-4347-90A6-6888CEB2BB9D}"/>
            </a:ext>
          </a:extLst>
        </xdr:cNvPr>
        <xdr:cNvCxnSpPr/>
      </xdr:nvCxnSpPr>
      <xdr:spPr>
        <a:xfrm>
          <a:off x="9956800" y="469900"/>
          <a:ext cx="6350" cy="57785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6</xdr:col>
      <xdr:colOff>374650</xdr:colOff>
      <xdr:row>2</xdr:row>
      <xdr:rowOff>57150</xdr:rowOff>
    </xdr:from>
    <xdr:to>
      <xdr:col>7</xdr:col>
      <xdr:colOff>552450</xdr:colOff>
      <xdr:row>3</xdr:row>
      <xdr:rowOff>95250</xdr:rowOff>
    </xdr:to>
    <xdr:sp macro="" textlink="Calculation!$B$4">
      <xdr:nvSpPr>
        <xdr:cNvPr id="53" name="TextBox 52">
          <a:extLst>
            <a:ext uri="{FF2B5EF4-FFF2-40B4-BE49-F238E27FC236}">
              <a16:creationId xmlns:a16="http://schemas.microsoft.com/office/drawing/2014/main" id="{B298FACD-153C-41CC-A2FE-F3139FBB07A3}"/>
            </a:ext>
          </a:extLst>
        </xdr:cNvPr>
        <xdr:cNvSpPr txBox="1"/>
      </xdr:nvSpPr>
      <xdr:spPr>
        <a:xfrm>
          <a:off x="4337050" y="488950"/>
          <a:ext cx="8382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78169B-741C-4C6F-AC5F-4B6E26E2B84E}" type="TxLink">
            <a:rPr lang="en-US" sz="1100" b="0" i="0" u="none" strike="noStrike">
              <a:solidFill>
                <a:srgbClr val="000000"/>
              </a:solidFill>
              <a:latin typeface="Aptos Narrow"/>
            </a:rPr>
            <a:t>18300</a:t>
          </a:fld>
          <a:endParaRPr lang="en-US" sz="1100"/>
        </a:p>
      </xdr:txBody>
    </xdr:sp>
    <xdr:clientData/>
  </xdr:twoCellAnchor>
  <xdr:twoCellAnchor>
    <xdr:from>
      <xdr:col>9</xdr:col>
      <xdr:colOff>266700</xdr:colOff>
      <xdr:row>2</xdr:row>
      <xdr:rowOff>63500</xdr:rowOff>
    </xdr:from>
    <xdr:to>
      <xdr:col>10</xdr:col>
      <xdr:colOff>444500</xdr:colOff>
      <xdr:row>3</xdr:row>
      <xdr:rowOff>101600</xdr:rowOff>
    </xdr:to>
    <xdr:sp macro="" textlink="Calculation!$B$5">
      <xdr:nvSpPr>
        <xdr:cNvPr id="56" name="TextBox 55">
          <a:extLst>
            <a:ext uri="{FF2B5EF4-FFF2-40B4-BE49-F238E27FC236}">
              <a16:creationId xmlns:a16="http://schemas.microsoft.com/office/drawing/2014/main" id="{85A3AAF6-A665-47E0-B5AA-C09DF575AEFA}"/>
            </a:ext>
          </a:extLst>
        </xdr:cNvPr>
        <xdr:cNvSpPr txBox="1"/>
      </xdr:nvSpPr>
      <xdr:spPr>
        <a:xfrm>
          <a:off x="6210300" y="495300"/>
          <a:ext cx="8382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2BCE1F-8825-40AC-9DFF-D471F206DC0B}" type="TxLink">
            <a:rPr lang="en-US" sz="1100" b="0" i="0" u="none" strike="noStrike">
              <a:solidFill>
                <a:srgbClr val="000000"/>
              </a:solidFill>
              <a:latin typeface="Aptos Narrow"/>
            </a:rPr>
            <a:t>3619</a:t>
          </a:fld>
          <a:endParaRPr lang="en-US" sz="1100"/>
        </a:p>
      </xdr:txBody>
    </xdr:sp>
    <xdr:clientData/>
  </xdr:twoCellAnchor>
  <xdr:twoCellAnchor>
    <xdr:from>
      <xdr:col>12</xdr:col>
      <xdr:colOff>165100</xdr:colOff>
      <xdr:row>2</xdr:row>
      <xdr:rowOff>31750</xdr:rowOff>
    </xdr:from>
    <xdr:to>
      <xdr:col>13</xdr:col>
      <xdr:colOff>342900</xdr:colOff>
      <xdr:row>3</xdr:row>
      <xdr:rowOff>69850</xdr:rowOff>
    </xdr:to>
    <xdr:sp macro="" textlink="Calculation!$B$6">
      <xdr:nvSpPr>
        <xdr:cNvPr id="58" name="TextBox 57">
          <a:extLst>
            <a:ext uri="{FF2B5EF4-FFF2-40B4-BE49-F238E27FC236}">
              <a16:creationId xmlns:a16="http://schemas.microsoft.com/office/drawing/2014/main" id="{FD417CFC-A51E-437E-861F-F59B29F6C58F}"/>
            </a:ext>
          </a:extLst>
        </xdr:cNvPr>
        <xdr:cNvSpPr txBox="1"/>
      </xdr:nvSpPr>
      <xdr:spPr>
        <a:xfrm>
          <a:off x="8089900" y="463550"/>
          <a:ext cx="8382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48743B-F01B-4F5E-B733-CC4E8145A71B}" type="TxLink">
            <a:rPr lang="en-US" sz="1100" b="0" i="0" u="none" strike="noStrike">
              <a:solidFill>
                <a:srgbClr val="000000"/>
              </a:solidFill>
              <a:latin typeface="Aptos Narrow"/>
            </a:rPr>
            <a:t>1309</a:t>
          </a:fld>
          <a:endParaRPr lang="en-US" sz="1100"/>
        </a:p>
      </xdr:txBody>
    </xdr:sp>
    <xdr:clientData/>
  </xdr:twoCellAnchor>
  <xdr:twoCellAnchor>
    <xdr:from>
      <xdr:col>15</xdr:col>
      <xdr:colOff>120650</xdr:colOff>
      <xdr:row>2</xdr:row>
      <xdr:rowOff>12700</xdr:rowOff>
    </xdr:from>
    <xdr:to>
      <xdr:col>16</xdr:col>
      <xdr:colOff>393700</xdr:colOff>
      <xdr:row>4</xdr:row>
      <xdr:rowOff>146050</xdr:rowOff>
    </xdr:to>
    <xdr:sp macro="" textlink="Calculation!$B$7">
      <xdr:nvSpPr>
        <xdr:cNvPr id="60" name="TextBox 59">
          <a:extLst>
            <a:ext uri="{FF2B5EF4-FFF2-40B4-BE49-F238E27FC236}">
              <a16:creationId xmlns:a16="http://schemas.microsoft.com/office/drawing/2014/main" id="{A8C9C8C6-3EDD-45AA-BFAB-A346D7AF7517}"/>
            </a:ext>
          </a:extLst>
        </xdr:cNvPr>
        <xdr:cNvSpPr txBox="1"/>
      </xdr:nvSpPr>
      <xdr:spPr>
        <a:xfrm>
          <a:off x="10026650" y="444500"/>
          <a:ext cx="933450" cy="488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A392B9-2C70-45C8-B115-2424B101B80D}" type="TxLink">
            <a:rPr lang="en-US" sz="1100" b="0" i="0" u="none" strike="noStrike">
              <a:solidFill>
                <a:srgbClr val="000000"/>
              </a:solidFill>
              <a:latin typeface="Aptos Narrow"/>
            </a:rPr>
            <a:t> $706,194.89 </a:t>
          </a:fld>
          <a:endParaRPr lang="en-US" sz="1100"/>
        </a:p>
      </xdr:txBody>
    </xdr:sp>
    <xdr:clientData/>
  </xdr:twoCellAnchor>
  <xdr:twoCellAnchor>
    <xdr:from>
      <xdr:col>6</xdr:col>
      <xdr:colOff>304800</xdr:colOff>
      <xdr:row>3</xdr:row>
      <xdr:rowOff>101600</xdr:rowOff>
    </xdr:from>
    <xdr:to>
      <xdr:col>8</xdr:col>
      <xdr:colOff>6350</xdr:colOff>
      <xdr:row>5</xdr:row>
      <xdr:rowOff>6350</xdr:rowOff>
    </xdr:to>
    <xdr:sp macro="" textlink="Calculation!$A$4">
      <xdr:nvSpPr>
        <xdr:cNvPr id="54" name="TextBox 53">
          <a:extLst>
            <a:ext uri="{FF2B5EF4-FFF2-40B4-BE49-F238E27FC236}">
              <a16:creationId xmlns:a16="http://schemas.microsoft.com/office/drawing/2014/main" id="{CA4F55BA-FF7D-4592-89A9-2AD980534ABE}"/>
            </a:ext>
          </a:extLst>
        </xdr:cNvPr>
        <xdr:cNvSpPr txBox="1"/>
      </xdr:nvSpPr>
      <xdr:spPr>
        <a:xfrm>
          <a:off x="4267200" y="711200"/>
          <a:ext cx="10223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7B79B-488D-4523-A85A-35E258645592}" type="TxLink">
            <a:rPr lang="en-US" sz="1100" b="0" i="0" u="none" strike="noStrike">
              <a:solidFill>
                <a:srgbClr val="000000"/>
              </a:solidFill>
              <a:latin typeface="Aptos Narrow"/>
            </a:rPr>
            <a:t> Total Calls</a:t>
          </a:fld>
          <a:endParaRPr lang="en-US" sz="1100"/>
        </a:p>
      </xdr:txBody>
    </xdr:sp>
    <xdr:clientData/>
  </xdr:twoCellAnchor>
  <xdr:twoCellAnchor>
    <xdr:from>
      <xdr:col>9</xdr:col>
      <xdr:colOff>234950</xdr:colOff>
      <xdr:row>3</xdr:row>
      <xdr:rowOff>127000</xdr:rowOff>
    </xdr:from>
    <xdr:to>
      <xdr:col>10</xdr:col>
      <xdr:colOff>596900</xdr:colOff>
      <xdr:row>5</xdr:row>
      <xdr:rowOff>31750</xdr:rowOff>
    </xdr:to>
    <xdr:sp macro="" textlink="Calculation!$A$5">
      <xdr:nvSpPr>
        <xdr:cNvPr id="63" name="TextBox 62">
          <a:extLst>
            <a:ext uri="{FF2B5EF4-FFF2-40B4-BE49-F238E27FC236}">
              <a16:creationId xmlns:a16="http://schemas.microsoft.com/office/drawing/2014/main" id="{C95D3DBE-8E29-428F-B521-0FA4BC86625F}"/>
            </a:ext>
          </a:extLst>
        </xdr:cNvPr>
        <xdr:cNvSpPr txBox="1"/>
      </xdr:nvSpPr>
      <xdr:spPr>
        <a:xfrm>
          <a:off x="6178550" y="736600"/>
          <a:ext cx="10223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854E55-9242-42E0-9E7A-3F173706D78B}" type="TxLink">
            <a:rPr lang="en-US" sz="1100" b="0" i="0" u="none" strike="noStrike">
              <a:solidFill>
                <a:srgbClr val="000000"/>
              </a:solidFill>
              <a:latin typeface="Aptos Narrow"/>
            </a:rPr>
            <a:t> Calls Reached</a:t>
          </a:fld>
          <a:endParaRPr lang="en-US" sz="1100"/>
        </a:p>
      </xdr:txBody>
    </xdr:sp>
    <xdr:clientData/>
  </xdr:twoCellAnchor>
  <xdr:twoCellAnchor>
    <xdr:from>
      <xdr:col>12</xdr:col>
      <xdr:colOff>139700</xdr:colOff>
      <xdr:row>3</xdr:row>
      <xdr:rowOff>120650</xdr:rowOff>
    </xdr:from>
    <xdr:to>
      <xdr:col>13</xdr:col>
      <xdr:colOff>501650</xdr:colOff>
      <xdr:row>5</xdr:row>
      <xdr:rowOff>25400</xdr:rowOff>
    </xdr:to>
    <xdr:sp macro="" textlink="Calculation!$A$6">
      <xdr:nvSpPr>
        <xdr:cNvPr id="64" name="TextBox 63">
          <a:extLst>
            <a:ext uri="{FF2B5EF4-FFF2-40B4-BE49-F238E27FC236}">
              <a16:creationId xmlns:a16="http://schemas.microsoft.com/office/drawing/2014/main" id="{31E5C680-DCCC-4F0C-BDE6-1FD467B17322}"/>
            </a:ext>
          </a:extLst>
        </xdr:cNvPr>
        <xdr:cNvSpPr txBox="1"/>
      </xdr:nvSpPr>
      <xdr:spPr>
        <a:xfrm>
          <a:off x="8064500" y="730250"/>
          <a:ext cx="10223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5BAD34-9D43-4A2E-9891-16EE5D6C16F9}" type="TxLink">
            <a:rPr lang="en-US" sz="1100" b="0" i="0" u="none" strike="noStrike">
              <a:solidFill>
                <a:srgbClr val="000000"/>
              </a:solidFill>
              <a:latin typeface="Aptos Narrow"/>
            </a:rPr>
            <a:t> Deals Closed</a:t>
          </a:fld>
          <a:endParaRPr lang="en-US" sz="1100"/>
        </a:p>
      </xdr:txBody>
    </xdr:sp>
    <xdr:clientData/>
  </xdr:twoCellAnchor>
  <xdr:twoCellAnchor>
    <xdr:from>
      <xdr:col>15</xdr:col>
      <xdr:colOff>69850</xdr:colOff>
      <xdr:row>3</xdr:row>
      <xdr:rowOff>152400</xdr:rowOff>
    </xdr:from>
    <xdr:to>
      <xdr:col>16</xdr:col>
      <xdr:colOff>431800</xdr:colOff>
      <xdr:row>5</xdr:row>
      <xdr:rowOff>57150</xdr:rowOff>
    </xdr:to>
    <xdr:sp macro="" textlink="Calculation!$A$7">
      <xdr:nvSpPr>
        <xdr:cNvPr id="67" name="TextBox 66">
          <a:extLst>
            <a:ext uri="{FF2B5EF4-FFF2-40B4-BE49-F238E27FC236}">
              <a16:creationId xmlns:a16="http://schemas.microsoft.com/office/drawing/2014/main" id="{CC462877-26B3-4F98-ADE4-30653D93437C}"/>
            </a:ext>
          </a:extLst>
        </xdr:cNvPr>
        <xdr:cNvSpPr txBox="1"/>
      </xdr:nvSpPr>
      <xdr:spPr>
        <a:xfrm>
          <a:off x="9975850" y="762000"/>
          <a:ext cx="10223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24098E-0217-4F5D-AEE2-8B561CA41121}" type="TxLink">
            <a:rPr lang="en-US" sz="1100" b="0" i="0" u="none" strike="noStrike">
              <a:solidFill>
                <a:srgbClr val="000000"/>
              </a:solidFill>
              <a:latin typeface="Aptos Narrow"/>
            </a:rPr>
            <a:t> Deal Value ($)</a:t>
          </a:fld>
          <a:endParaRPr lang="en-US" sz="1100"/>
        </a:p>
      </xdr:txBody>
    </xdr:sp>
    <xdr:clientData/>
  </xdr:twoCellAnchor>
  <xdr:twoCellAnchor editAs="oneCell">
    <xdr:from>
      <xdr:col>0</xdr:col>
      <xdr:colOff>0</xdr:colOff>
      <xdr:row>7</xdr:row>
      <xdr:rowOff>38100</xdr:rowOff>
    </xdr:from>
    <xdr:to>
      <xdr:col>1</xdr:col>
      <xdr:colOff>425450</xdr:colOff>
      <xdr:row>47</xdr:row>
      <xdr:rowOff>38100</xdr:rowOff>
    </xdr:to>
    <mc:AlternateContent xmlns:mc="http://schemas.openxmlformats.org/markup-compatibility/2006">
      <mc:Choice xmlns:a14="http://schemas.microsoft.com/office/drawing/2010/main" Requires="a14">
        <xdr:graphicFrame macro="">
          <xdr:nvGraphicFramePr>
            <xdr:cNvPr id="61" name="Name">
              <a:extLst>
                <a:ext uri="{FF2B5EF4-FFF2-40B4-BE49-F238E27FC236}">
                  <a16:creationId xmlns:a16="http://schemas.microsoft.com/office/drawing/2014/main" id="{EE632C5A-C3C7-47E8-B0F7-EF79986168C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0" y="1365087"/>
              <a:ext cx="1084873" cy="7164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7</xdr:row>
      <xdr:rowOff>0</xdr:rowOff>
    </xdr:from>
    <xdr:to>
      <xdr:col>13</xdr:col>
      <xdr:colOff>285750</xdr:colOff>
      <xdr:row>34</xdr:row>
      <xdr:rowOff>12700</xdr:rowOff>
    </xdr:to>
    <xdr:graphicFrame macro="">
      <xdr:nvGraphicFramePr>
        <xdr:cNvPr id="70" name="Chart 69">
          <a:extLst>
            <a:ext uri="{FF2B5EF4-FFF2-40B4-BE49-F238E27FC236}">
              <a16:creationId xmlns:a16="http://schemas.microsoft.com/office/drawing/2014/main" id="{AFB80147-A7C3-4B37-B0F6-393137B8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350064</xdr:colOff>
      <xdr:row>7</xdr:row>
      <xdr:rowOff>14432</xdr:rowOff>
    </xdr:from>
    <xdr:to>
      <xdr:col>19</xdr:col>
      <xdr:colOff>529168</xdr:colOff>
      <xdr:row>32</xdr:row>
      <xdr:rowOff>105834</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3276FB1F-E870-4DEB-AF24-2389E42BAC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037885" y="1341419"/>
              <a:ext cx="4135642" cy="45689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T" refreshedDate="45944.136756018517" createdVersion="7" refreshedVersion="7" minRefreshableVersion="3" recordCount="312" xr:uid="{E21F471D-7B4E-416D-BA3E-EB65E059055F}">
  <cacheSource type="worksheet">
    <worksheetSource name="SalesData"/>
  </cacheSource>
  <cacheFields count="12">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1" base="2">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Months" numFmtId="0" databaseField="0">
      <fieldGroup base="2">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360232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74"/>
    <n v="12"/>
    <n v="330.42"/>
    <n v="7"/>
    <n v="0.58333333333333337"/>
    <n v="4276.3100000000004"/>
    <n v="3"/>
    <n v="2.9500000000000002E-2"/>
  </r>
  <r>
    <x v="1"/>
    <x v="0"/>
    <x v="0"/>
    <n v="78"/>
    <n v="12"/>
    <n v="377.5"/>
    <n v="4"/>
    <n v="0.33333333333333331"/>
    <n v="3880.98"/>
    <n v="2"/>
    <n v="4.3400000000000001E-2"/>
  </r>
  <r>
    <x v="2"/>
    <x v="0"/>
    <x v="0"/>
    <n v="47"/>
    <n v="14"/>
    <n v="418.92"/>
    <n v="2"/>
    <n v="0.14285714285714285"/>
    <n v="3716"/>
    <n v="1"/>
    <n v="4.3899999999999995E-2"/>
  </r>
  <r>
    <x v="3"/>
    <x v="0"/>
    <x v="0"/>
    <n v="24"/>
    <n v="6"/>
    <n v="76.930000000000007"/>
    <n v="4"/>
    <n v="0.66666666666666663"/>
    <n v="1552.35"/>
    <n v="3"/>
    <n v="3.0800000000000001E-2"/>
  </r>
  <r>
    <x v="4"/>
    <x v="0"/>
    <x v="0"/>
    <n v="81"/>
    <n v="16"/>
    <n v="516.23"/>
    <n v="5"/>
    <n v="0.3125"/>
    <n v="1030.68"/>
    <n v="2"/>
    <n v="4.1100000000000005E-2"/>
  </r>
  <r>
    <x v="5"/>
    <x v="0"/>
    <x v="0"/>
    <n v="59"/>
    <n v="5"/>
    <n v="520.05999999999995"/>
    <n v="3"/>
    <n v="0.6"/>
    <n v="3546.72"/>
    <n v="1"/>
    <n v="1.2699999999999999E-2"/>
  </r>
  <r>
    <x v="6"/>
    <x v="0"/>
    <x v="0"/>
    <n v="68"/>
    <n v="19"/>
    <n v="290.39"/>
    <n v="3"/>
    <n v="0.15789473684210525"/>
    <n v="2472.2399999999998"/>
    <n v="3"/>
    <n v="9.5399999999999985E-2"/>
  </r>
  <r>
    <x v="7"/>
    <x v="0"/>
    <x v="0"/>
    <n v="60"/>
    <n v="7"/>
    <n v="251.7"/>
    <n v="5"/>
    <n v="0.7142857142857143"/>
    <n v="3956.69"/>
    <n v="2"/>
    <n v="4.1100000000000005E-2"/>
  </r>
  <r>
    <x v="8"/>
    <x v="0"/>
    <x v="0"/>
    <n v="34"/>
    <n v="21"/>
    <n v="362.62"/>
    <n v="9"/>
    <n v="0.42857142857142855"/>
    <n v="1140.08"/>
    <n v="1"/>
    <n v="5.4600000000000003E-2"/>
  </r>
  <r>
    <x v="9"/>
    <x v="0"/>
    <x v="0"/>
    <n v="59"/>
    <n v="13"/>
    <n v="307.49"/>
    <n v="10"/>
    <n v="0.76923076923076927"/>
    <n v="979.09"/>
    <n v="3"/>
    <n v="3.27E-2"/>
  </r>
  <r>
    <x v="10"/>
    <x v="0"/>
    <x v="0"/>
    <n v="18"/>
    <n v="8"/>
    <n v="206.81"/>
    <n v="7"/>
    <n v="0.875"/>
    <n v="720.56"/>
    <n v="2"/>
    <n v="7.8899999999999998E-2"/>
  </r>
  <r>
    <x v="11"/>
    <x v="0"/>
    <x v="0"/>
    <n v="36"/>
    <n v="6"/>
    <n v="547.6"/>
    <n v="5"/>
    <n v="0.83333333333333337"/>
    <n v="3463.18"/>
    <n v="1"/>
    <n v="3.7599999999999995E-2"/>
  </r>
  <r>
    <x v="12"/>
    <x v="0"/>
    <x v="0"/>
    <n v="67"/>
    <n v="17"/>
    <n v="552.54999999999995"/>
    <n v="2"/>
    <n v="0.11764705882352941"/>
    <n v="330.12"/>
    <n v="1"/>
    <n v="3.7200000000000004E-2"/>
  </r>
  <r>
    <x v="13"/>
    <x v="0"/>
    <x v="0"/>
    <n v="36"/>
    <n v="9"/>
    <n v="216.03"/>
    <n v="2"/>
    <n v="0.22222222222222221"/>
    <n v="4072.07"/>
    <n v="3"/>
    <n v="4.1200000000000001E-2"/>
  </r>
  <r>
    <x v="14"/>
    <x v="0"/>
    <x v="0"/>
    <n v="54"/>
    <n v="10"/>
    <n v="208.23"/>
    <n v="3"/>
    <n v="0.3"/>
    <n v="645.83000000000004"/>
    <n v="2"/>
    <n v="2.7999999999999997E-2"/>
  </r>
  <r>
    <x v="15"/>
    <x v="0"/>
    <x v="0"/>
    <n v="82"/>
    <n v="4"/>
    <n v="180.06"/>
    <n v="4"/>
    <n v="1"/>
    <n v="1207.17"/>
    <n v="1"/>
    <n v="8.4199999999999997E-2"/>
  </r>
  <r>
    <x v="16"/>
    <x v="0"/>
    <x v="0"/>
    <n v="81"/>
    <n v="7"/>
    <n v="82.43"/>
    <n v="7"/>
    <n v="1"/>
    <n v="3463.96"/>
    <n v="3"/>
    <n v="8.4900000000000003E-2"/>
  </r>
  <r>
    <x v="17"/>
    <x v="0"/>
    <x v="0"/>
    <n v="31"/>
    <n v="17"/>
    <n v="476.95"/>
    <n v="7"/>
    <n v="0.41176470588235292"/>
    <n v="3945.43"/>
    <n v="2"/>
    <n v="3.6000000000000004E-2"/>
  </r>
  <r>
    <x v="18"/>
    <x v="0"/>
    <x v="0"/>
    <n v="92"/>
    <n v="20"/>
    <n v="161.41999999999999"/>
    <n v="4"/>
    <n v="0.2"/>
    <n v="425.41"/>
    <n v="1"/>
    <n v="0.1045"/>
  </r>
  <r>
    <x v="19"/>
    <x v="0"/>
    <x v="0"/>
    <n v="73"/>
    <n v="12"/>
    <n v="507.45"/>
    <n v="0"/>
    <n v="0"/>
    <n v="1123.8399999999999"/>
    <n v="3"/>
    <n v="8.9999999999999998E-4"/>
  </r>
  <r>
    <x v="20"/>
    <x v="0"/>
    <x v="0"/>
    <n v="25"/>
    <n v="14"/>
    <n v="279.95"/>
    <n v="2"/>
    <n v="0.14285714285714285"/>
    <n v="1432.23"/>
    <n v="2"/>
    <n v="5.1699999999999996E-2"/>
  </r>
  <r>
    <x v="21"/>
    <x v="0"/>
    <x v="0"/>
    <n v="96"/>
    <n v="6"/>
    <n v="532.83000000000004"/>
    <n v="1"/>
    <n v="0.16666666666666666"/>
    <n v="3173.13"/>
    <n v="1"/>
    <n v="2.8300000000000002E-2"/>
  </r>
  <r>
    <x v="22"/>
    <x v="0"/>
    <x v="0"/>
    <n v="63"/>
    <n v="8"/>
    <n v="170.49"/>
    <n v="7"/>
    <n v="0.875"/>
    <n v="526.12"/>
    <n v="3"/>
    <n v="8.3499999999999991E-2"/>
  </r>
  <r>
    <x v="23"/>
    <x v="1"/>
    <x v="0"/>
    <n v="92"/>
    <n v="13"/>
    <n v="422.39"/>
    <n v="1"/>
    <n v="7.6923076923076927E-2"/>
    <n v="2695.84"/>
    <n v="2"/>
    <n v="2.46E-2"/>
  </r>
  <r>
    <x v="24"/>
    <x v="1"/>
    <x v="0"/>
    <n v="38"/>
    <n v="10"/>
    <n v="514.25"/>
    <n v="4"/>
    <n v="0.4"/>
    <n v="243.62"/>
    <n v="1"/>
    <n v="6.4399999999999999E-2"/>
  </r>
  <r>
    <x v="25"/>
    <x v="1"/>
    <x v="0"/>
    <n v="43"/>
    <n v="15"/>
    <n v="363.48"/>
    <n v="7"/>
    <n v="0.46666666666666667"/>
    <n v="3843.52"/>
    <n v="3"/>
    <n v="8.3400000000000002E-2"/>
  </r>
  <r>
    <x v="0"/>
    <x v="1"/>
    <x v="1"/>
    <n v="62"/>
    <n v="15"/>
    <n v="361.38"/>
    <n v="6"/>
    <n v="0.4"/>
    <n v="4195.1400000000003"/>
    <n v="2"/>
    <n v="2.75E-2"/>
  </r>
  <r>
    <x v="1"/>
    <x v="1"/>
    <x v="1"/>
    <n v="81"/>
    <n v="14"/>
    <n v="362.96"/>
    <n v="5"/>
    <n v="0.35714285714285715"/>
    <n v="3620.19"/>
    <n v="1"/>
    <n v="4.0800000000000003E-2"/>
  </r>
  <r>
    <x v="2"/>
    <x v="1"/>
    <x v="1"/>
    <n v="52"/>
    <n v="14"/>
    <n v="382.59"/>
    <n v="3"/>
    <n v="0.21428571428571427"/>
    <n v="3394.39"/>
    <n v="3"/>
    <n v="4.5599999999999995E-2"/>
  </r>
  <r>
    <x v="3"/>
    <x v="1"/>
    <x v="1"/>
    <n v="22"/>
    <n v="7"/>
    <n v="79.459999999999994"/>
    <n v="3"/>
    <n v="0.42857142857142855"/>
    <n v="1638.74"/>
    <n v="2"/>
    <n v="3.04E-2"/>
  </r>
  <r>
    <x v="4"/>
    <x v="1"/>
    <x v="1"/>
    <n v="93"/>
    <n v="11"/>
    <n v="446.3"/>
    <n v="5"/>
    <n v="0.45454545454545453"/>
    <n v="1057.1400000000001"/>
    <n v="1"/>
    <n v="3.6900000000000002E-2"/>
  </r>
  <r>
    <x v="5"/>
    <x v="1"/>
    <x v="1"/>
    <n v="65"/>
    <n v="7"/>
    <n v="461.67"/>
    <n v="2"/>
    <n v="0.2857142857142857"/>
    <n v="3486.23"/>
    <n v="3"/>
    <n v="1.1200000000000002E-2"/>
  </r>
  <r>
    <x v="6"/>
    <x v="1"/>
    <x v="1"/>
    <n v="90"/>
    <n v="20"/>
    <n v="328.63"/>
    <n v="3"/>
    <n v="0.15"/>
    <n v="2662.44"/>
    <n v="2"/>
    <n v="0.10640000000000001"/>
  </r>
  <r>
    <x v="7"/>
    <x v="1"/>
    <x v="1"/>
    <n v="48"/>
    <n v="7"/>
    <n v="247.66"/>
    <n v="6"/>
    <n v="0.8571428571428571"/>
    <n v="4335.84"/>
    <n v="1"/>
    <n v="3.9900000000000005E-2"/>
  </r>
  <r>
    <x v="8"/>
    <x v="1"/>
    <x v="1"/>
    <n v="37"/>
    <n v="17"/>
    <n v="378.61"/>
    <n v="10"/>
    <n v="0.58823529411764708"/>
    <n v="1295.07"/>
    <n v="3"/>
    <n v="5.6299999999999996E-2"/>
  </r>
  <r>
    <x v="9"/>
    <x v="1"/>
    <x v="1"/>
    <n v="68"/>
    <n v="16"/>
    <n v="299.58999999999997"/>
    <n v="9"/>
    <n v="0.5625"/>
    <n v="979.47"/>
    <n v="2"/>
    <n v="3.6900000000000002E-2"/>
  </r>
  <r>
    <x v="10"/>
    <x v="1"/>
    <x v="1"/>
    <n v="20"/>
    <n v="9"/>
    <n v="202.4"/>
    <n v="7"/>
    <n v="0.77777777777777779"/>
    <n v="732.99"/>
    <n v="1"/>
    <n v="7.9000000000000001E-2"/>
  </r>
  <r>
    <x v="11"/>
    <x v="1"/>
    <x v="1"/>
    <n v="35"/>
    <n v="6"/>
    <n v="568.38"/>
    <n v="6"/>
    <n v="1"/>
    <n v="3949.69"/>
    <n v="1"/>
    <n v="3.7499999999999999E-2"/>
  </r>
  <r>
    <x v="12"/>
    <x v="1"/>
    <x v="1"/>
    <n v="68"/>
    <n v="21"/>
    <n v="553.08000000000004"/>
    <n v="3"/>
    <n v="0.14285714285714285"/>
    <n v="360.7"/>
    <n v="3"/>
    <n v="3.3399999999999999E-2"/>
  </r>
  <r>
    <x v="13"/>
    <x v="1"/>
    <x v="1"/>
    <n v="30"/>
    <n v="8"/>
    <n v="223.22"/>
    <n v="2"/>
    <n v="0.25"/>
    <n v="3595.12"/>
    <n v="2"/>
    <n v="4.3400000000000001E-2"/>
  </r>
  <r>
    <x v="14"/>
    <x v="1"/>
    <x v="1"/>
    <n v="69"/>
    <n v="8"/>
    <n v="199.93"/>
    <n v="2"/>
    <n v="0.25"/>
    <n v="610.66"/>
    <n v="1"/>
    <n v="2.8199999999999999E-2"/>
  </r>
  <r>
    <x v="15"/>
    <x v="1"/>
    <x v="1"/>
    <n v="92"/>
    <n v="6"/>
    <n v="180.46"/>
    <n v="5"/>
    <n v="0.83333333333333337"/>
    <n v="1173.27"/>
    <n v="3"/>
    <n v="7.5300000000000006E-2"/>
  </r>
  <r>
    <x v="16"/>
    <x v="1"/>
    <x v="1"/>
    <n v="92"/>
    <n v="7"/>
    <n v="80.12"/>
    <n v="6"/>
    <n v="0.8571428571428571"/>
    <n v="3794.02"/>
    <n v="2"/>
    <n v="9.5000000000000001E-2"/>
  </r>
  <r>
    <x v="17"/>
    <x v="1"/>
    <x v="1"/>
    <n v="21"/>
    <n v="14"/>
    <n v="563.79"/>
    <n v="8"/>
    <n v="0.5714285714285714"/>
    <n v="3616.21"/>
    <n v="1"/>
    <n v="3.61E-2"/>
  </r>
  <r>
    <x v="18"/>
    <x v="1"/>
    <x v="1"/>
    <n v="83"/>
    <n v="20"/>
    <n v="193.39"/>
    <n v="5"/>
    <n v="0.25"/>
    <n v="402.53"/>
    <n v="3"/>
    <n v="0.1013"/>
  </r>
  <r>
    <x v="19"/>
    <x v="1"/>
    <x v="1"/>
    <n v="57"/>
    <n v="11"/>
    <n v="454.77"/>
    <n v="1"/>
    <n v="9.0909090909090912E-2"/>
    <n v="1152.4100000000001"/>
    <n v="2"/>
    <n v="1E-3"/>
  </r>
  <r>
    <x v="20"/>
    <x v="1"/>
    <x v="1"/>
    <n v="22"/>
    <n v="17"/>
    <n v="291.97000000000003"/>
    <n v="1"/>
    <n v="5.8823529411764705E-2"/>
    <n v="1703.6"/>
    <n v="1"/>
    <n v="5.21E-2"/>
  </r>
  <r>
    <x v="21"/>
    <x v="1"/>
    <x v="1"/>
    <n v="78"/>
    <n v="5"/>
    <n v="553.86"/>
    <n v="1"/>
    <n v="0.2"/>
    <n v="3503.57"/>
    <n v="3"/>
    <n v="3.1300000000000001E-2"/>
  </r>
  <r>
    <x v="22"/>
    <x v="1"/>
    <x v="1"/>
    <n v="68"/>
    <n v="7"/>
    <n v="171.76"/>
    <n v="7"/>
    <n v="1"/>
    <n v="548.36"/>
    <n v="2"/>
    <n v="8.2500000000000004E-2"/>
  </r>
  <r>
    <x v="23"/>
    <x v="1"/>
    <x v="1"/>
    <n v="83"/>
    <n v="16"/>
    <n v="382.21"/>
    <n v="1"/>
    <n v="6.25E-2"/>
    <n v="3017.43"/>
    <n v="3"/>
    <n v="2.4199999999999999E-2"/>
  </r>
  <r>
    <x v="24"/>
    <x v="1"/>
    <x v="1"/>
    <n v="31"/>
    <n v="11"/>
    <n v="562.73"/>
    <n v="4"/>
    <n v="0.36363636363636365"/>
    <n v="221.94"/>
    <n v="2"/>
    <n v="6.7400000000000002E-2"/>
  </r>
  <r>
    <x v="25"/>
    <x v="1"/>
    <x v="1"/>
    <n v="34"/>
    <n v="17"/>
    <n v="380.37"/>
    <n v="7"/>
    <n v="0.41176470588235292"/>
    <n v="4183.2700000000004"/>
    <n v="1"/>
    <n v="8.8699999999999987E-2"/>
  </r>
  <r>
    <x v="0"/>
    <x v="1"/>
    <x v="2"/>
    <n v="55"/>
    <n v="17"/>
    <n v="315.62"/>
    <n v="5"/>
    <n v="0.29411764705882354"/>
    <n v="3890.73"/>
    <n v="3"/>
    <n v="2.8799999999999999E-2"/>
  </r>
  <r>
    <x v="1"/>
    <x v="1"/>
    <x v="2"/>
    <n v="91"/>
    <n v="10"/>
    <n v="361.58"/>
    <n v="4"/>
    <n v="0.4"/>
    <n v="3674.37"/>
    <n v="2"/>
    <n v="4.0800000000000003E-2"/>
  </r>
  <r>
    <x v="2"/>
    <x v="1"/>
    <x v="2"/>
    <n v="59"/>
    <n v="13"/>
    <n v="402.9"/>
    <n v="2"/>
    <n v="0.15384615384615385"/>
    <n v="3357.27"/>
    <n v="1"/>
    <n v="4.2599999999999999E-2"/>
  </r>
  <r>
    <x v="3"/>
    <x v="1"/>
    <x v="2"/>
    <n v="19"/>
    <n v="6"/>
    <n v="82.65"/>
    <n v="3"/>
    <n v="0.5"/>
    <n v="1469.62"/>
    <n v="3"/>
    <n v="3.0699999999999998E-2"/>
  </r>
  <r>
    <x v="4"/>
    <x v="1"/>
    <x v="2"/>
    <n v="77"/>
    <n v="14"/>
    <n v="494.43"/>
    <n v="4"/>
    <n v="0.2857142857142857"/>
    <n v="963.35"/>
    <n v="2"/>
    <n v="3.6699999999999997E-2"/>
  </r>
  <r>
    <x v="5"/>
    <x v="1"/>
    <x v="2"/>
    <n v="50"/>
    <n v="8"/>
    <n v="512.92999999999995"/>
    <n v="3"/>
    <n v="0.375"/>
    <n v="3725.66"/>
    <n v="1"/>
    <n v="1.1599999999999999E-2"/>
  </r>
  <r>
    <x v="6"/>
    <x v="1"/>
    <x v="2"/>
    <n v="88"/>
    <n v="18"/>
    <n v="291.04000000000002"/>
    <n v="2"/>
    <n v="0.1111111111111111"/>
    <n v="2619.84"/>
    <n v="3"/>
    <n v="0.10550000000000001"/>
  </r>
  <r>
    <x v="7"/>
    <x v="1"/>
    <x v="2"/>
    <n v="62"/>
    <n v="9"/>
    <n v="252.77"/>
    <n v="7"/>
    <n v="0.77777777777777779"/>
    <n v="4641.6099999999997"/>
    <n v="2"/>
    <n v="4.0800000000000003E-2"/>
  </r>
  <r>
    <x v="8"/>
    <x v="1"/>
    <x v="2"/>
    <n v="33"/>
    <n v="18"/>
    <n v="348.57"/>
    <n v="8"/>
    <n v="0.44444444444444442"/>
    <n v="1169.6400000000001"/>
    <n v="1"/>
    <n v="5.4800000000000001E-2"/>
  </r>
  <r>
    <x v="9"/>
    <x v="1"/>
    <x v="2"/>
    <n v="54"/>
    <n v="15"/>
    <n v="321.99"/>
    <n v="8"/>
    <n v="0.53333333333333333"/>
    <n v="1080.0899999999999"/>
    <n v="1"/>
    <n v="3.5499999999999997E-2"/>
  </r>
  <r>
    <x v="10"/>
    <x v="1"/>
    <x v="2"/>
    <n v="16"/>
    <n v="9"/>
    <n v="199.87"/>
    <n v="9"/>
    <n v="1"/>
    <n v="818.64"/>
    <n v="3"/>
    <n v="7.46E-2"/>
  </r>
  <r>
    <x v="11"/>
    <x v="1"/>
    <x v="2"/>
    <n v="30"/>
    <n v="5"/>
    <n v="565.19000000000005"/>
    <n v="4"/>
    <n v="0.8"/>
    <n v="3621.51"/>
    <n v="2"/>
    <n v="4.3099999999999999E-2"/>
  </r>
  <r>
    <x v="12"/>
    <x v="1"/>
    <x v="2"/>
    <n v="68"/>
    <n v="19"/>
    <n v="623.25"/>
    <n v="3"/>
    <n v="0.15789473684210525"/>
    <n v="355.96"/>
    <n v="1"/>
    <n v="3.6299999999999999E-2"/>
  </r>
  <r>
    <x v="13"/>
    <x v="1"/>
    <x v="2"/>
    <n v="31"/>
    <n v="9"/>
    <n v="209.18"/>
    <n v="2"/>
    <n v="0.22222222222222221"/>
    <n v="4153.3100000000004"/>
    <n v="3"/>
    <n v="4.0399999999999998E-2"/>
  </r>
  <r>
    <x v="14"/>
    <x v="1"/>
    <x v="2"/>
    <n v="61"/>
    <n v="7"/>
    <n v="190.5"/>
    <n v="3"/>
    <n v="0.42857142857142855"/>
    <n v="661.2"/>
    <n v="2"/>
    <n v="2.7699999999999999E-2"/>
  </r>
  <r>
    <x v="15"/>
    <x v="1"/>
    <x v="2"/>
    <n v="83"/>
    <n v="5"/>
    <n v="170.12"/>
    <n v="3"/>
    <n v="0.6"/>
    <n v="1171.95"/>
    <n v="1"/>
    <n v="7.690000000000001E-2"/>
  </r>
  <r>
    <x v="16"/>
    <x v="1"/>
    <x v="2"/>
    <n v="74"/>
    <n v="7"/>
    <n v="87.89"/>
    <n v="7"/>
    <n v="1"/>
    <n v="3848.14"/>
    <n v="3"/>
    <n v="8.6699999999999999E-2"/>
  </r>
  <r>
    <x v="17"/>
    <x v="1"/>
    <x v="2"/>
    <n v="21"/>
    <n v="14"/>
    <n v="498.82"/>
    <n v="5"/>
    <n v="0.35714285714285715"/>
    <n v="4039.26"/>
    <n v="2"/>
    <n v="3.4000000000000002E-2"/>
  </r>
  <r>
    <x v="18"/>
    <x v="2"/>
    <x v="2"/>
    <n v="84"/>
    <n v="15"/>
    <n v="163.21"/>
    <n v="5"/>
    <n v="0.33333333333333331"/>
    <n v="411.36"/>
    <n v="1"/>
    <n v="0.1014"/>
  </r>
  <r>
    <x v="19"/>
    <x v="2"/>
    <x v="2"/>
    <n v="64"/>
    <n v="13"/>
    <n v="496.4"/>
    <n v="0"/>
    <n v="0"/>
    <n v="1306.3800000000001"/>
    <n v="3"/>
    <n v="1.1000000000000001E-3"/>
  </r>
  <r>
    <x v="20"/>
    <x v="2"/>
    <x v="2"/>
    <n v="21"/>
    <n v="13"/>
    <n v="315.41000000000003"/>
    <n v="1"/>
    <n v="7.6923076923076927E-2"/>
    <n v="1692.59"/>
    <n v="2"/>
    <n v="5.0999999999999997E-2"/>
  </r>
  <r>
    <x v="21"/>
    <x v="2"/>
    <x v="2"/>
    <n v="110"/>
    <n v="6"/>
    <n v="535.37"/>
    <n v="2"/>
    <n v="0.33333333333333331"/>
    <n v="3113.29"/>
    <n v="1"/>
    <n v="3.2099999999999997E-2"/>
  </r>
  <r>
    <x v="22"/>
    <x v="2"/>
    <x v="2"/>
    <n v="62"/>
    <n v="8"/>
    <n v="198.84"/>
    <n v="8"/>
    <n v="1"/>
    <n v="534.58000000000004"/>
    <n v="3"/>
    <n v="8.8000000000000009E-2"/>
  </r>
  <r>
    <x v="23"/>
    <x v="2"/>
    <x v="2"/>
    <n v="108"/>
    <n v="14"/>
    <n v="416.78"/>
    <n v="1"/>
    <n v="7.1428571428571425E-2"/>
    <n v="2989.69"/>
    <n v="2"/>
    <n v="2.5499999999999998E-2"/>
  </r>
  <r>
    <x v="24"/>
    <x v="2"/>
    <x v="2"/>
    <n v="28"/>
    <n v="12"/>
    <n v="533.85"/>
    <n v="5"/>
    <n v="0.41666666666666669"/>
    <n v="224.87"/>
    <n v="1"/>
    <n v="6.480000000000001E-2"/>
  </r>
  <r>
    <x v="25"/>
    <x v="2"/>
    <x v="2"/>
    <n v="39"/>
    <n v="16"/>
    <n v="312.8"/>
    <n v="8"/>
    <n v="0.5"/>
    <n v="4592.09"/>
    <n v="3"/>
    <n v="8.5500000000000007E-2"/>
  </r>
  <r>
    <x v="0"/>
    <x v="2"/>
    <x v="3"/>
    <n v="69"/>
    <n v="17"/>
    <n v="342.81"/>
    <n v="6"/>
    <n v="0.35294117647058826"/>
    <n v="3728.2"/>
    <n v="2"/>
    <n v="2.9600000000000001E-2"/>
  </r>
  <r>
    <x v="1"/>
    <x v="2"/>
    <x v="3"/>
    <n v="83"/>
    <n v="11"/>
    <n v="365.12"/>
    <n v="5"/>
    <n v="0.45454545454545453"/>
    <n v="3682.69"/>
    <n v="1"/>
    <n v="3.8199999999999998E-2"/>
  </r>
  <r>
    <x v="2"/>
    <x v="2"/>
    <x v="3"/>
    <n v="41"/>
    <n v="14"/>
    <n v="416.88"/>
    <n v="2"/>
    <n v="0.14285714285714285"/>
    <n v="3638.83"/>
    <n v="3"/>
    <n v="4.41E-2"/>
  </r>
  <r>
    <x v="3"/>
    <x v="2"/>
    <x v="3"/>
    <n v="17"/>
    <n v="7"/>
    <n v="81.14"/>
    <n v="3"/>
    <n v="0.42857142857142855"/>
    <n v="1419.04"/>
    <n v="2"/>
    <n v="2.9399999999999999E-2"/>
  </r>
  <r>
    <x v="4"/>
    <x v="2"/>
    <x v="3"/>
    <n v="76"/>
    <n v="16"/>
    <n v="449.04"/>
    <n v="4"/>
    <n v="0.25"/>
    <n v="1019.97"/>
    <n v="1"/>
    <n v="3.8100000000000002E-2"/>
  </r>
  <r>
    <x v="5"/>
    <x v="2"/>
    <x v="3"/>
    <n v="72"/>
    <n v="6"/>
    <n v="508.55"/>
    <n v="3"/>
    <n v="0.5"/>
    <n v="3633.75"/>
    <n v="3"/>
    <n v="1.1399999999999999E-2"/>
  </r>
  <r>
    <x v="6"/>
    <x v="2"/>
    <x v="3"/>
    <n v="72"/>
    <n v="18"/>
    <n v="299.08999999999997"/>
    <n v="2"/>
    <n v="0.1111111111111111"/>
    <n v="2378.29"/>
    <n v="2"/>
    <n v="0.1052"/>
  </r>
  <r>
    <x v="7"/>
    <x v="2"/>
    <x v="3"/>
    <n v="44"/>
    <n v="6"/>
    <n v="246.21"/>
    <n v="5"/>
    <n v="0.83333333333333337"/>
    <n v="4155.8"/>
    <n v="1"/>
    <n v="4.3299999999999998E-2"/>
  </r>
  <r>
    <x v="8"/>
    <x v="2"/>
    <x v="3"/>
    <n v="29"/>
    <n v="16"/>
    <n v="412.07"/>
    <n v="10"/>
    <n v="0.625"/>
    <n v="1075.94"/>
    <n v="1"/>
    <n v="6.2400000000000004E-2"/>
  </r>
  <r>
    <x v="9"/>
    <x v="2"/>
    <x v="3"/>
    <n v="64"/>
    <n v="13"/>
    <n v="317.58"/>
    <n v="8"/>
    <n v="0.61538461538461542"/>
    <n v="1088.22"/>
    <n v="3"/>
    <n v="3.49E-2"/>
  </r>
  <r>
    <x v="10"/>
    <x v="2"/>
    <x v="3"/>
    <n v="16"/>
    <n v="7"/>
    <n v="181.58"/>
    <n v="6"/>
    <n v="0.8571428571428571"/>
    <n v="868.4"/>
    <n v="2"/>
    <n v="8.4100000000000008E-2"/>
  </r>
  <r>
    <x v="11"/>
    <x v="2"/>
    <x v="3"/>
    <n v="37"/>
    <n v="7"/>
    <n v="470.85"/>
    <n v="7"/>
    <n v="1"/>
    <n v="3483.6"/>
    <n v="1"/>
    <n v="4.2599999999999999E-2"/>
  </r>
  <r>
    <x v="12"/>
    <x v="2"/>
    <x v="3"/>
    <n v="81"/>
    <n v="16"/>
    <n v="584.29999999999995"/>
    <n v="3"/>
    <n v="0.1875"/>
    <n v="377.45"/>
    <n v="3"/>
    <n v="3.32E-2"/>
  </r>
  <r>
    <x v="13"/>
    <x v="2"/>
    <x v="3"/>
    <n v="26"/>
    <n v="6"/>
    <n v="231.59"/>
    <n v="2"/>
    <n v="0.33333333333333331"/>
    <n v="3988.15"/>
    <n v="2"/>
    <n v="3.8399999999999997E-2"/>
  </r>
  <r>
    <x v="14"/>
    <x v="3"/>
    <x v="3"/>
    <n v="69"/>
    <n v="9"/>
    <n v="221.01"/>
    <n v="3"/>
    <n v="0.33333333333333331"/>
    <n v="643.44000000000005"/>
    <n v="1"/>
    <n v="3.2000000000000001E-2"/>
  </r>
  <r>
    <x v="15"/>
    <x v="3"/>
    <x v="3"/>
    <n v="103"/>
    <n v="6"/>
    <n v="165.74"/>
    <n v="6"/>
    <n v="1"/>
    <n v="1169.3800000000001"/>
    <n v="3"/>
    <n v="7.7699999999999991E-2"/>
  </r>
  <r>
    <x v="16"/>
    <x v="3"/>
    <x v="3"/>
    <n v="100"/>
    <n v="7"/>
    <n v="82.62"/>
    <n v="6"/>
    <n v="0.8571428571428571"/>
    <n v="4085.91"/>
    <n v="2"/>
    <n v="9.0500000000000011E-2"/>
  </r>
  <r>
    <x v="17"/>
    <x v="3"/>
    <x v="3"/>
    <n v="26"/>
    <n v="17"/>
    <n v="526.34"/>
    <n v="6"/>
    <n v="0.35294117647058826"/>
    <n v="3360.11"/>
    <n v="1"/>
    <n v="3.0600000000000002E-2"/>
  </r>
  <r>
    <x v="18"/>
    <x v="3"/>
    <x v="3"/>
    <n v="104"/>
    <n v="22"/>
    <n v="190.87"/>
    <n v="4"/>
    <n v="0.18181818181818182"/>
    <n v="433.41"/>
    <n v="3"/>
    <n v="9.3599999999999989E-2"/>
  </r>
  <r>
    <x v="19"/>
    <x v="3"/>
    <x v="3"/>
    <n v="63"/>
    <n v="11"/>
    <n v="554.51"/>
    <n v="1"/>
    <n v="9.0909090909090912E-2"/>
    <n v="1138.51"/>
    <n v="2"/>
    <n v="1E-3"/>
  </r>
  <r>
    <x v="20"/>
    <x v="3"/>
    <x v="3"/>
    <n v="22"/>
    <n v="13"/>
    <n v="302.49"/>
    <n v="2"/>
    <n v="0.15384615384615385"/>
    <n v="1591.45"/>
    <n v="3"/>
    <n v="4.9599999999999998E-2"/>
  </r>
  <r>
    <x v="21"/>
    <x v="3"/>
    <x v="3"/>
    <n v="91"/>
    <n v="5"/>
    <n v="605.11"/>
    <n v="2"/>
    <n v="0.4"/>
    <n v="3499.88"/>
    <n v="2"/>
    <n v="3.0200000000000001E-2"/>
  </r>
  <r>
    <x v="22"/>
    <x v="3"/>
    <x v="3"/>
    <n v="77"/>
    <n v="8"/>
    <n v="173.88"/>
    <n v="6"/>
    <n v="0.75"/>
    <n v="462.44"/>
    <n v="1"/>
    <n v="7.9899999999999999E-2"/>
  </r>
  <r>
    <x v="23"/>
    <x v="3"/>
    <x v="3"/>
    <n v="90"/>
    <n v="17"/>
    <n v="366.84"/>
    <n v="0"/>
    <n v="0"/>
    <n v="3153.56"/>
    <n v="3"/>
    <n v="2.4500000000000001E-2"/>
  </r>
  <r>
    <x v="24"/>
    <x v="3"/>
    <x v="3"/>
    <n v="33"/>
    <n v="9"/>
    <n v="578.41999999999996"/>
    <n v="4"/>
    <n v="0.44444444444444442"/>
    <n v="229.72"/>
    <n v="2"/>
    <n v="7.46E-2"/>
  </r>
  <r>
    <x v="25"/>
    <x v="3"/>
    <x v="3"/>
    <n v="42"/>
    <n v="14"/>
    <n v="321.29000000000002"/>
    <n v="7"/>
    <n v="0.5"/>
    <n v="4298.2700000000004"/>
    <n v="1"/>
    <n v="7.4499999999999997E-2"/>
  </r>
  <r>
    <x v="0"/>
    <x v="3"/>
    <x v="4"/>
    <n v="69"/>
    <n v="16"/>
    <n v="299.22000000000003"/>
    <n v="6"/>
    <n v="0.375"/>
    <n v="3716.14"/>
    <n v="3"/>
    <n v="2.63E-2"/>
  </r>
  <r>
    <x v="1"/>
    <x v="3"/>
    <x v="4"/>
    <n v="68"/>
    <n v="11"/>
    <n v="345.62"/>
    <n v="4"/>
    <n v="0.36363636363636365"/>
    <n v="3558.13"/>
    <n v="2"/>
    <n v="4.0800000000000003E-2"/>
  </r>
  <r>
    <x v="2"/>
    <x v="3"/>
    <x v="4"/>
    <n v="45"/>
    <n v="17"/>
    <n v="416.96"/>
    <n v="3"/>
    <n v="0.17647058823529413"/>
    <n v="3327.07"/>
    <n v="1"/>
    <n v="4.0999999999999995E-2"/>
  </r>
  <r>
    <x v="3"/>
    <x v="3"/>
    <x v="4"/>
    <n v="17"/>
    <n v="8"/>
    <n v="72.05"/>
    <n v="3"/>
    <n v="0.375"/>
    <n v="1672.82"/>
    <n v="3"/>
    <n v="3.0299999999999997E-2"/>
  </r>
  <r>
    <x v="4"/>
    <x v="3"/>
    <x v="4"/>
    <n v="85"/>
    <n v="13"/>
    <n v="475.61"/>
    <n v="5"/>
    <n v="0.38461538461538464"/>
    <n v="939.32"/>
    <n v="2"/>
    <n v="3.6400000000000002E-2"/>
  </r>
  <r>
    <x v="5"/>
    <x v="3"/>
    <x v="4"/>
    <n v="49"/>
    <n v="7"/>
    <n v="469.53"/>
    <n v="3"/>
    <n v="0.42857142857142855"/>
    <n v="3623.32"/>
    <n v="1"/>
    <n v="1.21E-2"/>
  </r>
  <r>
    <x v="6"/>
    <x v="3"/>
    <x v="4"/>
    <n v="66"/>
    <n v="15"/>
    <n v="333.1"/>
    <n v="2"/>
    <n v="0.13333333333333333"/>
    <n v="2631.58"/>
    <n v="1"/>
    <n v="0.10249999999999999"/>
  </r>
  <r>
    <x v="7"/>
    <x v="3"/>
    <x v="4"/>
    <n v="63"/>
    <n v="9"/>
    <n v="258.11"/>
    <n v="7"/>
    <n v="0.77777777777777779"/>
    <n v="4064.36"/>
    <n v="3"/>
    <n v="4.1599999999999998E-2"/>
  </r>
  <r>
    <x v="8"/>
    <x v="3"/>
    <x v="4"/>
    <n v="31"/>
    <n v="20"/>
    <n v="400.8"/>
    <n v="8"/>
    <n v="0.4"/>
    <n v="1294.3599999999999"/>
    <n v="2"/>
    <n v="5.6399999999999999E-2"/>
  </r>
  <r>
    <x v="9"/>
    <x v="3"/>
    <x v="4"/>
    <n v="75"/>
    <n v="19"/>
    <n v="343.28"/>
    <n v="9"/>
    <n v="0.47368421052631576"/>
    <n v="899.46"/>
    <n v="1"/>
    <n v="3.2199999999999999E-2"/>
  </r>
  <r>
    <x v="10"/>
    <x v="3"/>
    <x v="4"/>
    <n v="18"/>
    <n v="7"/>
    <n v="204.63"/>
    <n v="7"/>
    <n v="1"/>
    <n v="789.77"/>
    <n v="3"/>
    <n v="7.4499999999999997E-2"/>
  </r>
  <r>
    <x v="11"/>
    <x v="3"/>
    <x v="4"/>
    <n v="35"/>
    <n v="6"/>
    <n v="553.11"/>
    <n v="4"/>
    <n v="0.66666666666666663"/>
    <n v="3867.67"/>
    <n v="2"/>
    <n v="3.8300000000000001E-2"/>
  </r>
  <r>
    <x v="12"/>
    <x v="3"/>
    <x v="4"/>
    <n v="74"/>
    <n v="20"/>
    <n v="623.33000000000004"/>
    <n v="2"/>
    <n v="0.1"/>
    <n v="359.97"/>
    <n v="1"/>
    <n v="3.8399999999999997E-2"/>
  </r>
  <r>
    <x v="13"/>
    <x v="3"/>
    <x v="4"/>
    <n v="26"/>
    <n v="7"/>
    <n v="200.45"/>
    <n v="1"/>
    <n v="0.14285714285714285"/>
    <n v="3797.35"/>
    <n v="3"/>
    <n v="4.1399999999999999E-2"/>
  </r>
  <r>
    <x v="14"/>
    <x v="3"/>
    <x v="4"/>
    <n v="50"/>
    <n v="7"/>
    <n v="196.2"/>
    <n v="2"/>
    <n v="0.2857142857142857"/>
    <n v="592.71"/>
    <n v="2"/>
    <n v="2.76E-2"/>
  </r>
  <r>
    <x v="15"/>
    <x v="3"/>
    <x v="4"/>
    <n v="97"/>
    <n v="5"/>
    <n v="185.62"/>
    <n v="4"/>
    <n v="0.8"/>
    <n v="1282.81"/>
    <n v="1"/>
    <n v="7.22E-2"/>
  </r>
  <r>
    <x v="16"/>
    <x v="3"/>
    <x v="4"/>
    <n v="91"/>
    <n v="7"/>
    <n v="89.39"/>
    <n v="6"/>
    <n v="0.8571428571428571"/>
    <n v="3971.59"/>
    <n v="3"/>
    <n v="9.0700000000000003E-2"/>
  </r>
  <r>
    <x v="17"/>
    <x v="3"/>
    <x v="4"/>
    <n v="21"/>
    <n v="14"/>
    <n v="472.79"/>
    <n v="8"/>
    <n v="0.5714285714285714"/>
    <n v="3830.32"/>
    <n v="2"/>
    <n v="3.5200000000000002E-2"/>
  </r>
  <r>
    <x v="18"/>
    <x v="3"/>
    <x v="4"/>
    <n v="91"/>
    <n v="15"/>
    <n v="173.03"/>
    <n v="4"/>
    <n v="0.26666666666666666"/>
    <n v="386.08"/>
    <n v="1"/>
    <n v="9.820000000000001E-2"/>
  </r>
  <r>
    <x v="19"/>
    <x v="3"/>
    <x v="4"/>
    <n v="67"/>
    <n v="15"/>
    <n v="499.68"/>
    <n v="0"/>
    <n v="0"/>
    <n v="1287.1300000000001"/>
    <n v="3"/>
    <n v="1E-3"/>
  </r>
  <r>
    <x v="20"/>
    <x v="3"/>
    <x v="4"/>
    <n v="19"/>
    <n v="13"/>
    <n v="316.23"/>
    <n v="1"/>
    <n v="7.6923076923076927E-2"/>
    <n v="1598.49"/>
    <n v="2"/>
    <n v="5.8299999999999998E-2"/>
  </r>
  <r>
    <x v="21"/>
    <x v="3"/>
    <x v="4"/>
    <n v="105"/>
    <n v="6"/>
    <n v="567.03"/>
    <n v="1"/>
    <n v="0.16666666666666666"/>
    <n v="3496.65"/>
    <n v="1"/>
    <n v="3.0600000000000002E-2"/>
  </r>
  <r>
    <x v="22"/>
    <x v="3"/>
    <x v="4"/>
    <n v="73"/>
    <n v="8"/>
    <n v="175.52"/>
    <n v="7"/>
    <n v="0.875"/>
    <n v="455.32"/>
    <n v="3"/>
    <n v="9.35E-2"/>
  </r>
  <r>
    <x v="23"/>
    <x v="3"/>
    <x v="4"/>
    <n v="111"/>
    <n v="13"/>
    <n v="358.31"/>
    <n v="0"/>
    <n v="0"/>
    <n v="2811.77"/>
    <n v="2"/>
    <n v="2.7099999999999999E-2"/>
  </r>
  <r>
    <x v="24"/>
    <x v="3"/>
    <x v="4"/>
    <n v="38"/>
    <n v="12"/>
    <n v="556.33000000000004"/>
    <n v="4"/>
    <n v="0.33333333333333331"/>
    <n v="241.08"/>
    <n v="1"/>
    <n v="7.0599999999999996E-2"/>
  </r>
  <r>
    <x v="25"/>
    <x v="3"/>
    <x v="4"/>
    <n v="33"/>
    <n v="17"/>
    <n v="371.65"/>
    <n v="9"/>
    <n v="0.52941176470588236"/>
    <n v="4068.75"/>
    <n v="3"/>
    <n v="8.5500000000000007E-2"/>
  </r>
  <r>
    <x v="0"/>
    <x v="3"/>
    <x v="5"/>
    <n v="59"/>
    <n v="16"/>
    <n v="359.47"/>
    <n v="7"/>
    <n v="0.4375"/>
    <n v="3958.94"/>
    <n v="2"/>
    <n v="2.46E-2"/>
  </r>
  <r>
    <x v="1"/>
    <x v="3"/>
    <x v="5"/>
    <n v="71"/>
    <n v="11"/>
    <n v="379.33"/>
    <n v="4"/>
    <n v="0.36363636363636365"/>
    <n v="4003.52"/>
    <n v="1"/>
    <n v="4.2900000000000001E-2"/>
  </r>
  <r>
    <x v="2"/>
    <x v="3"/>
    <x v="5"/>
    <n v="48"/>
    <n v="14"/>
    <n v="383.94"/>
    <n v="3"/>
    <n v="0.21428571428571427"/>
    <n v="3173.36"/>
    <n v="3"/>
    <n v="4.0999999999999995E-2"/>
  </r>
  <r>
    <x v="3"/>
    <x v="3"/>
    <x v="5"/>
    <n v="18"/>
    <n v="7"/>
    <n v="85.32"/>
    <n v="3"/>
    <n v="0.42857142857142855"/>
    <n v="1431.69"/>
    <n v="2"/>
    <n v="3.1600000000000003E-2"/>
  </r>
  <r>
    <x v="4"/>
    <x v="3"/>
    <x v="5"/>
    <n v="93"/>
    <n v="14"/>
    <n v="466.81"/>
    <n v="5"/>
    <n v="0.35714285714285715"/>
    <n v="988.98"/>
    <n v="1"/>
    <n v="4.2300000000000004E-2"/>
  </r>
  <r>
    <x v="5"/>
    <x v="4"/>
    <x v="5"/>
    <n v="49"/>
    <n v="7"/>
    <n v="512.88"/>
    <n v="2"/>
    <n v="0.2857142857142857"/>
    <n v="3545.66"/>
    <n v="1"/>
    <n v="1.2699999999999999E-2"/>
  </r>
  <r>
    <x v="6"/>
    <x v="4"/>
    <x v="5"/>
    <n v="85"/>
    <n v="17"/>
    <n v="324.56"/>
    <n v="3"/>
    <n v="0.17647058823529413"/>
    <n v="2420.5300000000002"/>
    <n v="3"/>
    <n v="8.929999999999999E-2"/>
  </r>
  <r>
    <x v="7"/>
    <x v="4"/>
    <x v="5"/>
    <n v="61"/>
    <n v="7"/>
    <n v="219.53"/>
    <n v="7"/>
    <n v="1"/>
    <n v="3860.12"/>
    <n v="2"/>
    <n v="4.3499999999999997E-2"/>
  </r>
  <r>
    <x v="8"/>
    <x v="4"/>
    <x v="5"/>
    <n v="30"/>
    <n v="16"/>
    <n v="353.65"/>
    <n v="9"/>
    <n v="0.5625"/>
    <n v="1213.5899999999999"/>
    <n v="1"/>
    <n v="6.2E-2"/>
  </r>
  <r>
    <x v="9"/>
    <x v="4"/>
    <x v="5"/>
    <n v="54"/>
    <n v="16"/>
    <n v="334.41"/>
    <n v="9"/>
    <n v="0.5625"/>
    <n v="1056.98"/>
    <n v="3"/>
    <n v="3.5200000000000002E-2"/>
  </r>
  <r>
    <x v="10"/>
    <x v="4"/>
    <x v="5"/>
    <n v="19"/>
    <n v="7"/>
    <n v="199.46"/>
    <n v="7"/>
    <n v="1"/>
    <n v="809.56"/>
    <n v="2"/>
    <n v="7.1399999999999991E-2"/>
  </r>
  <r>
    <x v="11"/>
    <x v="4"/>
    <x v="5"/>
    <n v="40"/>
    <n v="6"/>
    <n v="509.67"/>
    <n v="4"/>
    <n v="0.66666666666666663"/>
    <n v="3330.44"/>
    <n v="1"/>
    <n v="3.8300000000000001E-2"/>
  </r>
  <r>
    <x v="12"/>
    <x v="4"/>
    <x v="5"/>
    <n v="73"/>
    <n v="21"/>
    <n v="601.02"/>
    <n v="2"/>
    <n v="9.5238095238095233E-2"/>
    <n v="364.56"/>
    <n v="3"/>
    <n v="3.4300000000000004E-2"/>
  </r>
  <r>
    <x v="13"/>
    <x v="4"/>
    <x v="5"/>
    <n v="36"/>
    <n v="9"/>
    <n v="196.74"/>
    <n v="1"/>
    <n v="0.1111111111111111"/>
    <n v="3760.57"/>
    <n v="2"/>
    <n v="3.9800000000000002E-2"/>
  </r>
  <r>
    <x v="14"/>
    <x v="4"/>
    <x v="5"/>
    <n v="58"/>
    <n v="8"/>
    <n v="196.58"/>
    <n v="3"/>
    <n v="0.375"/>
    <n v="692.47"/>
    <n v="1"/>
    <n v="3.27E-2"/>
  </r>
  <r>
    <x v="15"/>
    <x v="4"/>
    <x v="5"/>
    <n v="100"/>
    <n v="5"/>
    <n v="153.87"/>
    <n v="2"/>
    <n v="0.4"/>
    <n v="1190.24"/>
    <n v="3"/>
    <n v="8.0600000000000005E-2"/>
  </r>
  <r>
    <x v="16"/>
    <x v="4"/>
    <x v="5"/>
    <n v="93"/>
    <n v="5"/>
    <n v="85.65"/>
    <n v="5"/>
    <n v="1"/>
    <n v="3913.17"/>
    <n v="2"/>
    <n v="9.5700000000000007E-2"/>
  </r>
  <r>
    <x v="17"/>
    <x v="4"/>
    <x v="5"/>
    <n v="28"/>
    <n v="16"/>
    <n v="506.95"/>
    <n v="6"/>
    <n v="0.375"/>
    <n v="3993.03"/>
    <n v="3"/>
    <n v="3.0600000000000002E-2"/>
  </r>
  <r>
    <x v="18"/>
    <x v="4"/>
    <x v="5"/>
    <n v="88"/>
    <n v="18"/>
    <n v="181.21"/>
    <n v="4"/>
    <n v="0.22222222222222221"/>
    <n v="377.13"/>
    <n v="2"/>
    <n v="0.10009999999999999"/>
  </r>
  <r>
    <x v="19"/>
    <x v="4"/>
    <x v="5"/>
    <n v="69"/>
    <n v="16"/>
    <n v="495.32"/>
    <n v="0"/>
    <n v="0"/>
    <n v="1262.99"/>
    <n v="1"/>
    <n v="1E-3"/>
  </r>
  <r>
    <x v="20"/>
    <x v="4"/>
    <x v="5"/>
    <n v="21"/>
    <n v="16"/>
    <n v="315.91000000000003"/>
    <n v="1"/>
    <n v="6.25E-2"/>
    <n v="1455.83"/>
    <n v="3"/>
    <n v="5.1299999999999998E-2"/>
  </r>
  <r>
    <x v="21"/>
    <x v="4"/>
    <x v="5"/>
    <n v="92"/>
    <n v="5"/>
    <n v="569.75"/>
    <n v="2"/>
    <n v="0.4"/>
    <n v="3734.43"/>
    <n v="2"/>
    <n v="2.76E-2"/>
  </r>
  <r>
    <x v="22"/>
    <x v="4"/>
    <x v="5"/>
    <n v="58"/>
    <n v="7"/>
    <n v="173.24"/>
    <n v="7"/>
    <n v="1"/>
    <n v="525.73"/>
    <n v="1"/>
    <n v="8.2299999999999998E-2"/>
  </r>
  <r>
    <x v="23"/>
    <x v="4"/>
    <x v="5"/>
    <n v="114"/>
    <n v="13"/>
    <n v="364.35"/>
    <n v="0"/>
    <n v="0"/>
    <n v="2988.28"/>
    <n v="3"/>
    <n v="2.58E-2"/>
  </r>
  <r>
    <x v="24"/>
    <x v="4"/>
    <x v="5"/>
    <n v="35"/>
    <n v="12"/>
    <n v="515.24"/>
    <n v="5"/>
    <n v="0.41666666666666669"/>
    <n v="224.24"/>
    <n v="2"/>
    <n v="6.9800000000000001E-2"/>
  </r>
  <r>
    <x v="25"/>
    <x v="4"/>
    <x v="5"/>
    <n v="35"/>
    <n v="16"/>
    <n v="351.71"/>
    <n v="9"/>
    <n v="0.5625"/>
    <n v="3984.69"/>
    <n v="1"/>
    <n v="7.4099999999999999E-2"/>
  </r>
  <r>
    <x v="0"/>
    <x v="4"/>
    <x v="6"/>
    <n v="71"/>
    <n v="17"/>
    <n v="360.1"/>
    <n v="6"/>
    <n v="0.35294117647058826"/>
    <n v="4444.83"/>
    <n v="3"/>
    <n v="2.9500000000000002E-2"/>
  </r>
  <r>
    <x v="1"/>
    <x v="4"/>
    <x v="6"/>
    <n v="62"/>
    <n v="13"/>
    <n v="364.64"/>
    <n v="4"/>
    <n v="0.30769230769230771"/>
    <n v="3704.33"/>
    <n v="2"/>
    <n v="3.7499999999999999E-2"/>
  </r>
  <r>
    <x v="2"/>
    <x v="4"/>
    <x v="6"/>
    <n v="53"/>
    <n v="14"/>
    <n v="367.56"/>
    <n v="2"/>
    <n v="0.14285714285714285"/>
    <n v="3514.07"/>
    <n v="1"/>
    <n v="4.0099999999999997E-2"/>
  </r>
  <r>
    <x v="3"/>
    <x v="4"/>
    <x v="6"/>
    <n v="18"/>
    <n v="6"/>
    <n v="76.27"/>
    <n v="4"/>
    <n v="0.66666666666666663"/>
    <n v="1597.98"/>
    <n v="1"/>
    <n v="2.81E-2"/>
  </r>
  <r>
    <x v="4"/>
    <x v="4"/>
    <x v="6"/>
    <n v="71"/>
    <n v="12"/>
    <n v="487.04"/>
    <n v="5"/>
    <n v="0.41666666666666669"/>
    <n v="1004.9"/>
    <n v="3"/>
    <n v="4.2099999999999999E-2"/>
  </r>
  <r>
    <x v="5"/>
    <x v="4"/>
    <x v="6"/>
    <n v="70"/>
    <n v="5"/>
    <n v="491.31"/>
    <n v="3"/>
    <n v="0.6"/>
    <n v="3289.06"/>
    <n v="2"/>
    <n v="1.1299999999999999E-2"/>
  </r>
  <r>
    <x v="6"/>
    <x v="4"/>
    <x v="6"/>
    <n v="77"/>
    <n v="15"/>
    <n v="282.58999999999997"/>
    <n v="2"/>
    <n v="0.13333333333333333"/>
    <n v="2296.14"/>
    <n v="1"/>
    <n v="9.5799999999999996E-2"/>
  </r>
  <r>
    <x v="7"/>
    <x v="4"/>
    <x v="6"/>
    <n v="50"/>
    <n v="9"/>
    <n v="246.06"/>
    <n v="5"/>
    <n v="0.55555555555555558"/>
    <n v="4227.22"/>
    <n v="3"/>
    <n v="3.7200000000000004E-2"/>
  </r>
  <r>
    <x v="8"/>
    <x v="4"/>
    <x v="6"/>
    <n v="31"/>
    <n v="15"/>
    <n v="347.38"/>
    <n v="10"/>
    <n v="0.66666666666666663"/>
    <n v="1101.06"/>
    <n v="2"/>
    <n v="6.0100000000000001E-2"/>
  </r>
  <r>
    <x v="9"/>
    <x v="4"/>
    <x v="6"/>
    <n v="77"/>
    <n v="16"/>
    <n v="335.59"/>
    <n v="7"/>
    <n v="0.4375"/>
    <n v="1087.4100000000001"/>
    <n v="1"/>
    <n v="3.6900000000000002E-2"/>
  </r>
  <r>
    <x v="10"/>
    <x v="4"/>
    <x v="6"/>
    <n v="17"/>
    <n v="8"/>
    <n v="208.21"/>
    <n v="4"/>
    <n v="0.5"/>
    <n v="828.73"/>
    <n v="3"/>
    <n v="7.4200000000000002E-2"/>
  </r>
  <r>
    <x v="11"/>
    <x v="4"/>
    <x v="6"/>
    <n v="32"/>
    <n v="6"/>
    <n v="553.58000000000004"/>
    <n v="3"/>
    <n v="0.5"/>
    <n v="3939.56"/>
    <n v="2"/>
    <n v="3.78E-2"/>
  </r>
  <r>
    <x v="12"/>
    <x v="4"/>
    <x v="6"/>
    <n v="72"/>
    <n v="21"/>
    <n v="604.57000000000005"/>
    <n v="2"/>
    <n v="9.5238095238095233E-2"/>
    <n v="327.82"/>
    <n v="1"/>
    <n v="3.6699999999999997E-2"/>
  </r>
  <r>
    <x v="13"/>
    <x v="4"/>
    <x v="6"/>
    <n v="34"/>
    <n v="7"/>
    <n v="199.39"/>
    <n v="1"/>
    <n v="0.14285714285714285"/>
    <n v="3767.74"/>
    <n v="3"/>
    <n v="3.85E-2"/>
  </r>
  <r>
    <x v="14"/>
    <x v="4"/>
    <x v="6"/>
    <n v="71"/>
    <n v="9"/>
    <n v="220.4"/>
    <n v="2"/>
    <n v="0.22222222222222221"/>
    <n v="692.29"/>
    <n v="2"/>
    <n v="2.8999999999999998E-2"/>
  </r>
  <r>
    <x v="15"/>
    <x v="4"/>
    <x v="6"/>
    <n v="83"/>
    <n v="5"/>
    <n v="166.85"/>
    <n v="4"/>
    <n v="0.8"/>
    <n v="1364.24"/>
    <n v="1"/>
    <n v="8.3100000000000007E-2"/>
  </r>
  <r>
    <x v="16"/>
    <x v="4"/>
    <x v="6"/>
    <n v="71"/>
    <n v="7"/>
    <n v="78.53"/>
    <n v="4"/>
    <n v="0.5714285714285714"/>
    <n v="3652.64"/>
    <n v="3"/>
    <n v="8.6999999999999994E-2"/>
  </r>
  <r>
    <x v="17"/>
    <x v="4"/>
    <x v="6"/>
    <n v="24"/>
    <n v="13"/>
    <n v="471.72"/>
    <n v="7"/>
    <n v="0.53846153846153844"/>
    <n v="3588.89"/>
    <n v="2"/>
    <n v="3.5400000000000001E-2"/>
  </r>
  <r>
    <x v="18"/>
    <x v="4"/>
    <x v="6"/>
    <n v="75"/>
    <n v="17"/>
    <n v="176.07"/>
    <n v="5"/>
    <n v="0.29411764705882354"/>
    <n v="458.18"/>
    <n v="1"/>
    <n v="9.9399999999999988E-2"/>
  </r>
  <r>
    <x v="19"/>
    <x v="4"/>
    <x v="6"/>
    <n v="76"/>
    <n v="11"/>
    <n v="486.93"/>
    <n v="0"/>
    <n v="0"/>
    <n v="1219.29"/>
    <n v="3"/>
    <n v="1E-3"/>
  </r>
  <r>
    <x v="20"/>
    <x v="4"/>
    <x v="6"/>
    <n v="20"/>
    <n v="14"/>
    <n v="283.66000000000003"/>
    <n v="2"/>
    <n v="0.14285714285714285"/>
    <n v="1494.14"/>
    <n v="2"/>
    <n v="5.7800000000000004E-2"/>
  </r>
  <r>
    <x v="21"/>
    <x v="4"/>
    <x v="6"/>
    <n v="79"/>
    <n v="6"/>
    <n v="536.04999999999995"/>
    <n v="1"/>
    <n v="0.16666666666666666"/>
    <n v="3682.29"/>
    <n v="1"/>
    <n v="3.2099999999999997E-2"/>
  </r>
  <r>
    <x v="22"/>
    <x v="4"/>
    <x v="6"/>
    <n v="82"/>
    <n v="9"/>
    <n v="171.86"/>
    <n v="7"/>
    <n v="0.77777777777777779"/>
    <n v="506.88"/>
    <n v="3"/>
    <n v="9.4100000000000003E-2"/>
  </r>
  <r>
    <x v="23"/>
    <x v="4"/>
    <x v="6"/>
    <n v="103"/>
    <n v="15"/>
    <n v="359.16"/>
    <n v="1"/>
    <n v="6.6666666666666666E-2"/>
    <n v="2949.94"/>
    <n v="2"/>
    <n v="2.3599999999999999E-2"/>
  </r>
  <r>
    <x v="24"/>
    <x v="4"/>
    <x v="6"/>
    <n v="41"/>
    <n v="9"/>
    <n v="569.97"/>
    <n v="5"/>
    <n v="0.55555555555555558"/>
    <n v="259.86"/>
    <n v="1"/>
    <n v="6.3299999999999995E-2"/>
  </r>
  <r>
    <x v="25"/>
    <x v="4"/>
    <x v="6"/>
    <n v="38"/>
    <n v="14"/>
    <n v="359.22"/>
    <n v="8"/>
    <n v="0.5714285714285714"/>
    <n v="3846.34"/>
    <n v="3"/>
    <n v="8.5900000000000004E-2"/>
  </r>
  <r>
    <x v="0"/>
    <x v="4"/>
    <x v="7"/>
    <n v="71"/>
    <n v="15"/>
    <n v="297.05"/>
    <n v="6"/>
    <n v="0.4"/>
    <n v="4043.62"/>
    <n v="2"/>
    <n v="2.7200000000000002E-2"/>
  </r>
  <r>
    <x v="1"/>
    <x v="4"/>
    <x v="7"/>
    <n v="66"/>
    <n v="13"/>
    <n v="376.76"/>
    <n v="5"/>
    <n v="0.38461538461538464"/>
    <n v="3819.73"/>
    <n v="1"/>
    <n v="4.4900000000000002E-2"/>
  </r>
  <r>
    <x v="2"/>
    <x v="4"/>
    <x v="7"/>
    <n v="53"/>
    <n v="15"/>
    <n v="379.29"/>
    <n v="2"/>
    <n v="0.13333333333333333"/>
    <n v="3409.69"/>
    <n v="1"/>
    <n v="4.41E-2"/>
  </r>
  <r>
    <x v="3"/>
    <x v="4"/>
    <x v="7"/>
    <n v="18"/>
    <n v="8"/>
    <n v="82.91"/>
    <n v="3"/>
    <n v="0.375"/>
    <n v="1387.86"/>
    <n v="3"/>
    <n v="3.0099999999999998E-2"/>
  </r>
  <r>
    <x v="4"/>
    <x v="4"/>
    <x v="7"/>
    <n v="72"/>
    <n v="14"/>
    <n v="437.47"/>
    <n v="4"/>
    <n v="0.2857142857142857"/>
    <n v="958.02"/>
    <n v="2"/>
    <n v="3.9100000000000003E-2"/>
  </r>
  <r>
    <x v="5"/>
    <x v="4"/>
    <x v="7"/>
    <n v="64"/>
    <n v="7"/>
    <n v="554.20000000000005"/>
    <n v="2"/>
    <n v="0.2857142857142857"/>
    <n v="3620.9"/>
    <n v="1"/>
    <n v="1.23E-2"/>
  </r>
  <r>
    <x v="6"/>
    <x v="4"/>
    <x v="7"/>
    <n v="76"/>
    <n v="21"/>
    <n v="293.93"/>
    <n v="2"/>
    <n v="9.5238095238095233E-2"/>
    <n v="2531.4"/>
    <n v="3"/>
    <n v="0.1012"/>
  </r>
  <r>
    <x v="7"/>
    <x v="4"/>
    <x v="7"/>
    <n v="64"/>
    <n v="9"/>
    <n v="255.17"/>
    <n v="6"/>
    <n v="0.66666666666666663"/>
    <n v="4136.6899999999996"/>
    <n v="2"/>
    <n v="3.8199999999999998E-2"/>
  </r>
  <r>
    <x v="8"/>
    <x v="4"/>
    <x v="7"/>
    <n v="26"/>
    <n v="17"/>
    <n v="391.73"/>
    <n v="7"/>
    <n v="0.41176470588235292"/>
    <n v="1166.55"/>
    <n v="1"/>
    <n v="6.1200000000000004E-2"/>
  </r>
  <r>
    <x v="9"/>
    <x v="4"/>
    <x v="7"/>
    <n v="65"/>
    <n v="13"/>
    <n v="324.26"/>
    <n v="7"/>
    <n v="0.53846153846153844"/>
    <n v="1044.8599999999999"/>
    <n v="3"/>
    <n v="3.5200000000000002E-2"/>
  </r>
  <r>
    <x v="10"/>
    <x v="4"/>
    <x v="7"/>
    <n v="22"/>
    <n v="9"/>
    <n v="211.28"/>
    <n v="8"/>
    <n v="0.88888888888888884"/>
    <n v="772.77"/>
    <n v="2"/>
    <n v="8.0600000000000005E-2"/>
  </r>
  <r>
    <x v="11"/>
    <x v="4"/>
    <x v="7"/>
    <n v="30"/>
    <n v="6"/>
    <n v="549.26"/>
    <n v="2"/>
    <n v="0.33333333333333331"/>
    <n v="3868.36"/>
    <n v="1"/>
    <n v="4.2800000000000005E-2"/>
  </r>
  <r>
    <x v="12"/>
    <x v="4"/>
    <x v="7"/>
    <n v="83"/>
    <n v="15"/>
    <n v="601.05999999999995"/>
    <n v="3"/>
    <n v="0.2"/>
    <n v="350.62"/>
    <n v="3"/>
    <n v="3.6600000000000001E-2"/>
  </r>
  <r>
    <x v="13"/>
    <x v="4"/>
    <x v="7"/>
    <n v="35"/>
    <n v="6"/>
    <n v="192.19"/>
    <n v="1"/>
    <n v="0.16666666666666666"/>
    <n v="3963.32"/>
    <n v="2"/>
    <n v="3.9800000000000002E-2"/>
  </r>
  <r>
    <x v="14"/>
    <x v="4"/>
    <x v="7"/>
    <n v="73"/>
    <n v="8"/>
    <n v="191.76"/>
    <n v="3"/>
    <n v="0.375"/>
    <n v="675.97"/>
    <n v="3"/>
    <n v="3.0200000000000001E-2"/>
  </r>
  <r>
    <x v="15"/>
    <x v="4"/>
    <x v="7"/>
    <n v="104"/>
    <n v="4"/>
    <n v="169.75"/>
    <n v="3"/>
    <n v="0.75"/>
    <n v="1255.83"/>
    <n v="2"/>
    <n v="7.7600000000000002E-2"/>
  </r>
  <r>
    <x v="16"/>
    <x v="4"/>
    <x v="7"/>
    <n v="71"/>
    <n v="6"/>
    <n v="87.5"/>
    <n v="3"/>
    <n v="0.5"/>
    <n v="3666.64"/>
    <n v="1"/>
    <n v="9.1300000000000006E-2"/>
  </r>
  <r>
    <x v="17"/>
    <x v="4"/>
    <x v="7"/>
    <n v="22"/>
    <n v="14"/>
    <n v="477.3"/>
    <n v="6"/>
    <n v="0.42857142857142855"/>
    <n v="3790.05"/>
    <n v="3"/>
    <n v="3.32E-2"/>
  </r>
  <r>
    <x v="18"/>
    <x v="4"/>
    <x v="7"/>
    <n v="85"/>
    <n v="17"/>
    <n v="187.72"/>
    <n v="5"/>
    <n v="0.29411764705882354"/>
    <n v="443.22"/>
    <n v="2"/>
    <n v="0.1016"/>
  </r>
  <r>
    <x v="19"/>
    <x v="4"/>
    <x v="7"/>
    <n v="80"/>
    <n v="13"/>
    <n v="504.59"/>
    <n v="0"/>
    <n v="0"/>
    <n v="1265.47"/>
    <n v="1"/>
    <n v="1E-3"/>
  </r>
  <r>
    <x v="20"/>
    <x v="4"/>
    <x v="7"/>
    <n v="18"/>
    <n v="12"/>
    <n v="262.26"/>
    <n v="1"/>
    <n v="8.3333333333333329E-2"/>
    <n v="1573.7"/>
    <n v="3"/>
    <n v="5.1299999999999998E-2"/>
  </r>
  <r>
    <x v="21"/>
    <x v="4"/>
    <x v="7"/>
    <n v="106"/>
    <n v="6"/>
    <n v="572.16"/>
    <n v="2"/>
    <n v="0.33333333333333331"/>
    <n v="3398.37"/>
    <n v="2"/>
    <n v="2.87E-2"/>
  </r>
  <r>
    <x v="22"/>
    <x v="4"/>
    <x v="7"/>
    <n v="71"/>
    <n v="9"/>
    <n v="172.96"/>
    <n v="6"/>
    <n v="0.66666666666666663"/>
    <n v="464.49"/>
    <n v="1"/>
    <n v="8.2699999999999996E-2"/>
  </r>
  <r>
    <x v="23"/>
    <x v="4"/>
    <x v="7"/>
    <n v="115"/>
    <n v="17"/>
    <n v="422.48"/>
    <n v="0"/>
    <n v="0"/>
    <n v="2681.51"/>
    <n v="3"/>
    <n v="2.5000000000000001E-2"/>
  </r>
  <r>
    <x v="24"/>
    <x v="4"/>
    <x v="7"/>
    <n v="34"/>
    <n v="10"/>
    <n v="565.11"/>
    <n v="5"/>
    <n v="0.5"/>
    <n v="222.62"/>
    <n v="2"/>
    <n v="7.1800000000000003E-2"/>
  </r>
  <r>
    <x v="25"/>
    <x v="4"/>
    <x v="7"/>
    <n v="40"/>
    <n v="17"/>
    <n v="355.83"/>
    <n v="6"/>
    <n v="0.35294117647058826"/>
    <n v="4155.8599999999997"/>
    <n v="1"/>
    <n v="8.8000000000000009E-2"/>
  </r>
  <r>
    <x v="0"/>
    <x v="4"/>
    <x v="8"/>
    <n v="51"/>
    <n v="15"/>
    <n v="349.71"/>
    <n v="8"/>
    <n v="0.53333333333333333"/>
    <n v="4017.54"/>
    <n v="1"/>
    <n v="2.92E-2"/>
  </r>
  <r>
    <x v="1"/>
    <x v="4"/>
    <x v="8"/>
    <n v="79"/>
    <n v="9"/>
    <n v="358.67"/>
    <n v="5"/>
    <n v="0.55555555555555558"/>
    <n v="3658.64"/>
    <n v="3"/>
    <n v="3.7499999999999999E-2"/>
  </r>
  <r>
    <x v="2"/>
    <x v="4"/>
    <x v="8"/>
    <n v="57"/>
    <n v="18"/>
    <n v="403.41"/>
    <n v="3"/>
    <n v="0.16666666666666666"/>
    <n v="3767.63"/>
    <n v="2"/>
    <n v="4.24E-2"/>
  </r>
  <r>
    <x v="3"/>
    <x v="4"/>
    <x v="8"/>
    <n v="24"/>
    <n v="7"/>
    <n v="79.62"/>
    <n v="4"/>
    <n v="0.5714285714285714"/>
    <n v="1650.69"/>
    <n v="1"/>
    <n v="3.0600000000000002E-2"/>
  </r>
  <r>
    <x v="4"/>
    <x v="4"/>
    <x v="8"/>
    <n v="77"/>
    <n v="11"/>
    <n v="487.47"/>
    <n v="4"/>
    <n v="0.36363636363636365"/>
    <n v="990.89"/>
    <n v="3"/>
    <n v="4.3299999999999998E-2"/>
  </r>
  <r>
    <x v="5"/>
    <x v="4"/>
    <x v="8"/>
    <n v="69"/>
    <n v="7"/>
    <n v="549.77"/>
    <n v="2"/>
    <n v="0.2857142857142857"/>
    <n v="3916.58"/>
    <n v="2"/>
    <n v="1.2E-2"/>
  </r>
  <r>
    <x v="6"/>
    <x v="4"/>
    <x v="8"/>
    <n v="74"/>
    <n v="18"/>
    <n v="306.89999999999998"/>
    <n v="3"/>
    <n v="0.16666666666666666"/>
    <n v="2254.16"/>
    <n v="1"/>
    <n v="9.64E-2"/>
  </r>
  <r>
    <x v="7"/>
    <x v="4"/>
    <x v="8"/>
    <n v="57"/>
    <n v="7"/>
    <n v="262.27999999999997"/>
    <n v="7"/>
    <n v="1"/>
    <n v="3929.11"/>
    <n v="3"/>
    <n v="4.4299999999999999E-2"/>
  </r>
  <r>
    <x v="8"/>
    <x v="4"/>
    <x v="8"/>
    <n v="26"/>
    <n v="21"/>
    <n v="359.51"/>
    <n v="9"/>
    <n v="0.42857142857142855"/>
    <n v="1187.3699999999999"/>
    <n v="2"/>
    <n v="5.33E-2"/>
  </r>
  <r>
    <x v="9"/>
    <x v="4"/>
    <x v="8"/>
    <n v="76"/>
    <n v="18"/>
    <n v="339.1"/>
    <n v="8"/>
    <n v="0.44444444444444442"/>
    <n v="924.79"/>
    <n v="1"/>
    <n v="3.6000000000000004E-2"/>
  </r>
  <r>
    <x v="10"/>
    <x v="4"/>
    <x v="8"/>
    <n v="22"/>
    <n v="7"/>
    <n v="182.47"/>
    <n v="7"/>
    <n v="1"/>
    <n v="779.86"/>
    <n v="3"/>
    <n v="7.2700000000000001E-2"/>
  </r>
  <r>
    <x v="11"/>
    <x v="4"/>
    <x v="8"/>
    <n v="38"/>
    <n v="6"/>
    <n v="553.89"/>
    <n v="6"/>
    <n v="1"/>
    <n v="4013.79"/>
    <n v="2"/>
    <n v="4.3200000000000002E-2"/>
  </r>
  <r>
    <x v="12"/>
    <x v="4"/>
    <x v="8"/>
    <n v="87"/>
    <n v="21"/>
    <n v="633.13"/>
    <n v="2"/>
    <n v="9.5238095238095233E-2"/>
    <n v="336.22"/>
    <n v="1"/>
    <n v="3.4500000000000003E-2"/>
  </r>
  <r>
    <x v="13"/>
    <x v="4"/>
    <x v="8"/>
    <n v="37"/>
    <n v="8"/>
    <n v="215.09"/>
    <n v="2"/>
    <n v="0.25"/>
    <n v="3424.83"/>
    <n v="3"/>
    <n v="4.07E-2"/>
  </r>
  <r>
    <x v="14"/>
    <x v="4"/>
    <x v="8"/>
    <n v="71"/>
    <n v="8"/>
    <n v="199.19"/>
    <n v="2"/>
    <n v="0.25"/>
    <n v="635.24"/>
    <n v="2"/>
    <n v="2.9500000000000002E-2"/>
  </r>
  <r>
    <x v="15"/>
    <x v="4"/>
    <x v="8"/>
    <n v="81"/>
    <n v="5"/>
    <n v="153.5"/>
    <n v="2"/>
    <n v="0.4"/>
    <n v="1307.47"/>
    <n v="1"/>
    <n v="7.3300000000000004E-2"/>
  </r>
  <r>
    <x v="16"/>
    <x v="4"/>
    <x v="8"/>
    <n v="93"/>
    <n v="5"/>
    <n v="77.12"/>
    <n v="2"/>
    <n v="0.4"/>
    <n v="3483.91"/>
    <n v="3"/>
    <n v="9.9000000000000005E-2"/>
  </r>
  <r>
    <x v="17"/>
    <x v="4"/>
    <x v="8"/>
    <n v="21"/>
    <n v="17"/>
    <n v="533.41999999999996"/>
    <n v="7"/>
    <n v="0.41176470588235292"/>
    <n v="3895.32"/>
    <n v="2"/>
    <n v="3.4000000000000002E-2"/>
  </r>
  <r>
    <x v="18"/>
    <x v="4"/>
    <x v="8"/>
    <n v="86"/>
    <n v="17"/>
    <n v="160.88999999999999"/>
    <n v="4"/>
    <n v="0.23529411764705882"/>
    <n v="418.33"/>
    <n v="1"/>
    <n v="8.8100000000000012E-2"/>
  </r>
  <r>
    <x v="19"/>
    <x v="4"/>
    <x v="8"/>
    <n v="72"/>
    <n v="11"/>
    <n v="459.86"/>
    <n v="0"/>
    <n v="0"/>
    <n v="1269.5999999999999"/>
    <n v="3"/>
    <n v="1E-3"/>
  </r>
  <r>
    <x v="20"/>
    <x v="4"/>
    <x v="8"/>
    <n v="18"/>
    <n v="13"/>
    <n v="290.14"/>
    <n v="2"/>
    <n v="0.15384615384615385"/>
    <n v="1444.65"/>
    <n v="2"/>
    <n v="5.4699999999999999E-2"/>
  </r>
  <r>
    <x v="21"/>
    <x v="4"/>
    <x v="8"/>
    <n v="105"/>
    <n v="7"/>
    <n v="587.83000000000004"/>
    <n v="1"/>
    <n v="0.14285714285714285"/>
    <n v="3601.93"/>
    <n v="1"/>
    <n v="3.2199999999999999E-2"/>
  </r>
  <r>
    <x v="22"/>
    <x v="4"/>
    <x v="8"/>
    <n v="75"/>
    <n v="8"/>
    <n v="177.88"/>
    <n v="7"/>
    <n v="0.875"/>
    <n v="507.1"/>
    <n v="3"/>
    <n v="9.5199999999999993E-2"/>
  </r>
  <r>
    <x v="23"/>
    <x v="4"/>
    <x v="8"/>
    <n v="98"/>
    <n v="12"/>
    <n v="406.95"/>
    <n v="0"/>
    <n v="0"/>
    <n v="2978.09"/>
    <n v="2"/>
    <n v="2.3700000000000002E-2"/>
  </r>
  <r>
    <x v="24"/>
    <x v="4"/>
    <x v="8"/>
    <n v="33"/>
    <n v="13"/>
    <n v="517.1"/>
    <n v="4"/>
    <n v="0.30769230769230771"/>
    <n v="250.08"/>
    <n v="1"/>
    <n v="6.5299999999999997E-2"/>
  </r>
  <r>
    <x v="25"/>
    <x v="4"/>
    <x v="8"/>
    <n v="35"/>
    <n v="18"/>
    <n v="348.92"/>
    <n v="7"/>
    <n v="0.3888888888888889"/>
    <n v="4381.3900000000003"/>
    <n v="1"/>
    <n v="8.8599999999999998E-2"/>
  </r>
  <r>
    <x v="0"/>
    <x v="4"/>
    <x v="9"/>
    <n v="74"/>
    <n v="16"/>
    <n v="308.51"/>
    <n v="7"/>
    <n v="0.4375"/>
    <n v="4267.5"/>
    <n v="3"/>
    <n v="2.9399999999999999E-2"/>
  </r>
  <r>
    <x v="1"/>
    <x v="4"/>
    <x v="9"/>
    <n v="72"/>
    <n v="10"/>
    <n v="362.58"/>
    <n v="5"/>
    <n v="0.5"/>
    <n v="3679.65"/>
    <n v="2"/>
    <n v="3.8599999999999995E-2"/>
  </r>
  <r>
    <x v="2"/>
    <x v="4"/>
    <x v="9"/>
    <n v="58"/>
    <n v="13"/>
    <n v="368.06"/>
    <n v="2"/>
    <n v="0.15384615384615385"/>
    <n v="3626.22"/>
    <n v="1"/>
    <n v="4.1399999999999999E-2"/>
  </r>
  <r>
    <x v="3"/>
    <x v="4"/>
    <x v="9"/>
    <n v="22"/>
    <n v="7"/>
    <n v="74.680000000000007"/>
    <n v="4"/>
    <n v="0.5714285714285714"/>
    <n v="1543.72"/>
    <n v="3"/>
    <n v="2.75E-2"/>
  </r>
  <r>
    <x v="4"/>
    <x v="4"/>
    <x v="9"/>
    <n v="74"/>
    <n v="15"/>
    <n v="460.2"/>
    <n v="4"/>
    <n v="0.26666666666666666"/>
    <n v="980.1"/>
    <n v="2"/>
    <n v="3.7900000000000003E-2"/>
  </r>
  <r>
    <x v="5"/>
    <x v="4"/>
    <x v="9"/>
    <n v="62"/>
    <n v="8"/>
    <n v="540.79999999999995"/>
    <n v="3"/>
    <n v="0.375"/>
    <n v="3928.71"/>
    <n v="1"/>
    <n v="1.09E-2"/>
  </r>
  <r>
    <x v="6"/>
    <x v="4"/>
    <x v="9"/>
    <n v="70"/>
    <n v="21"/>
    <n v="319.62"/>
    <n v="3"/>
    <n v="0.14285714285714285"/>
    <n v="2486.2199999999998"/>
    <n v="3"/>
    <n v="0.1036"/>
  </r>
  <r>
    <x v="7"/>
    <x v="4"/>
    <x v="9"/>
    <n v="51"/>
    <n v="7"/>
    <n v="248.37"/>
    <n v="7"/>
    <n v="1"/>
    <n v="3946.23"/>
    <n v="2"/>
    <n v="4.2699999999999995E-2"/>
  </r>
  <r>
    <x v="8"/>
    <x v="4"/>
    <x v="9"/>
    <n v="32"/>
    <n v="16"/>
    <n v="393.04"/>
    <n v="7"/>
    <n v="0.4375"/>
    <n v="1286.18"/>
    <n v="1"/>
    <n v="5.6399999999999999E-2"/>
  </r>
  <r>
    <x v="9"/>
    <x v="4"/>
    <x v="9"/>
    <n v="71"/>
    <n v="16"/>
    <n v="323.56"/>
    <n v="9"/>
    <n v="0.5625"/>
    <n v="957.05"/>
    <n v="3"/>
    <n v="3.1099999999999999E-2"/>
  </r>
  <r>
    <x v="10"/>
    <x v="4"/>
    <x v="9"/>
    <n v="17"/>
    <n v="7"/>
    <n v="205.3"/>
    <n v="4"/>
    <n v="0.5714285714285714"/>
    <n v="762.2"/>
    <n v="2"/>
    <n v="7.2300000000000003E-2"/>
  </r>
  <r>
    <x v="11"/>
    <x v="4"/>
    <x v="9"/>
    <n v="35"/>
    <n v="6"/>
    <n v="544.78"/>
    <n v="5"/>
    <n v="0.83333333333333337"/>
    <n v="3420.99"/>
    <n v="3"/>
    <n v="4.0500000000000001E-2"/>
  </r>
  <r>
    <x v="12"/>
    <x v="4"/>
    <x v="9"/>
    <n v="73"/>
    <n v="17"/>
    <n v="557.29999999999995"/>
    <n v="3"/>
    <n v="0.17647058823529413"/>
    <n v="376.66"/>
    <n v="2"/>
    <n v="3.4700000000000002E-2"/>
  </r>
  <r>
    <x v="13"/>
    <x v="4"/>
    <x v="9"/>
    <n v="27"/>
    <n v="6"/>
    <n v="202.37"/>
    <n v="1"/>
    <n v="0.16666666666666666"/>
    <n v="3781.81"/>
    <n v="1"/>
    <n v="4.3099999999999999E-2"/>
  </r>
  <r>
    <x v="14"/>
    <x v="4"/>
    <x v="9"/>
    <n v="49"/>
    <n v="7"/>
    <n v="204.14"/>
    <n v="3"/>
    <n v="0.42857142857142855"/>
    <n v="636.65"/>
    <n v="3"/>
    <n v="2.9500000000000002E-2"/>
  </r>
  <r>
    <x v="15"/>
    <x v="4"/>
    <x v="9"/>
    <n v="106"/>
    <n v="5"/>
    <n v="163.38"/>
    <n v="1"/>
    <n v="0.2"/>
    <n v="1148.1400000000001"/>
    <n v="2"/>
    <n v="7.8799999999999995E-2"/>
  </r>
  <r>
    <x v="16"/>
    <x v="4"/>
    <x v="9"/>
    <n v="102"/>
    <n v="5"/>
    <n v="86.37"/>
    <n v="5"/>
    <n v="1"/>
    <n v="3851.19"/>
    <n v="1"/>
    <n v="8.3800000000000013E-2"/>
  </r>
  <r>
    <x v="17"/>
    <x v="4"/>
    <x v="9"/>
    <n v="21"/>
    <n v="14"/>
    <n v="537.36"/>
    <n v="7"/>
    <n v="0.5"/>
    <n v="3767.78"/>
    <n v="3"/>
    <n v="3.44E-2"/>
  </r>
  <r>
    <x v="18"/>
    <x v="4"/>
    <x v="9"/>
    <n v="104"/>
    <n v="20"/>
    <n v="181.9"/>
    <n v="4"/>
    <n v="0.2"/>
    <n v="400.92"/>
    <n v="2"/>
    <n v="0.10009999999999999"/>
  </r>
  <r>
    <x v="19"/>
    <x v="4"/>
    <x v="9"/>
    <n v="64"/>
    <n v="15"/>
    <n v="514.38"/>
    <n v="0"/>
    <n v="0"/>
    <n v="1220.5899999999999"/>
    <n v="1"/>
    <n v="1E-3"/>
  </r>
  <r>
    <x v="20"/>
    <x v="4"/>
    <x v="9"/>
    <n v="21"/>
    <n v="15"/>
    <n v="309.75"/>
    <n v="2"/>
    <n v="0.13333333333333333"/>
    <n v="1649.09"/>
    <n v="3"/>
    <n v="5.0999999999999997E-2"/>
  </r>
  <r>
    <x v="21"/>
    <x v="4"/>
    <x v="9"/>
    <n v="108"/>
    <n v="6"/>
    <n v="515.27"/>
    <n v="2"/>
    <n v="0.33333333333333331"/>
    <n v="3183.87"/>
    <n v="2"/>
    <n v="3.04E-2"/>
  </r>
  <r>
    <x v="22"/>
    <x v="4"/>
    <x v="9"/>
    <n v="63"/>
    <n v="10"/>
    <n v="194.21"/>
    <n v="7"/>
    <n v="0.7"/>
    <n v="508.84"/>
    <n v="1"/>
    <n v="9.3900000000000011E-2"/>
  </r>
  <r>
    <x v="23"/>
    <x v="4"/>
    <x v="9"/>
    <n v="85"/>
    <n v="15"/>
    <n v="400.65"/>
    <n v="0"/>
    <n v="0"/>
    <n v="2890.62"/>
    <n v="1"/>
    <n v="2.4700000000000003E-2"/>
  </r>
  <r>
    <x v="24"/>
    <x v="4"/>
    <x v="9"/>
    <n v="36"/>
    <n v="10"/>
    <n v="535.44000000000005"/>
    <n v="4"/>
    <n v="0.4"/>
    <n v="241.26"/>
    <n v="3"/>
    <n v="6.3E-2"/>
  </r>
  <r>
    <x v="25"/>
    <x v="4"/>
    <x v="9"/>
    <n v="34"/>
    <n v="12"/>
    <n v="356.4"/>
    <n v="8"/>
    <n v="0.66666666666666663"/>
    <n v="4111.76"/>
    <n v="2"/>
    <n v="8.4700000000000011E-2"/>
  </r>
  <r>
    <x v="0"/>
    <x v="4"/>
    <x v="10"/>
    <n v="67"/>
    <n v="12"/>
    <n v="352.6"/>
    <n v="6"/>
    <n v="0.5"/>
    <n v="4402.41"/>
    <n v="1"/>
    <n v="2.8999999999999998E-2"/>
  </r>
  <r>
    <x v="1"/>
    <x v="4"/>
    <x v="10"/>
    <n v="76"/>
    <n v="14"/>
    <n v="351.42"/>
    <n v="4"/>
    <n v="0.2857142857142857"/>
    <n v="3917.99"/>
    <n v="3"/>
    <n v="4.2999999999999997E-2"/>
  </r>
  <r>
    <x v="2"/>
    <x v="4"/>
    <x v="10"/>
    <n v="53"/>
    <n v="17"/>
    <n v="404.22"/>
    <n v="2"/>
    <n v="0.11764705882352941"/>
    <n v="3669.4"/>
    <n v="2"/>
    <n v="4.4500000000000005E-2"/>
  </r>
  <r>
    <x v="3"/>
    <x v="4"/>
    <x v="10"/>
    <n v="22"/>
    <n v="6"/>
    <n v="80.02"/>
    <n v="3"/>
    <n v="0.5"/>
    <n v="1476.69"/>
    <n v="1"/>
    <n v="2.9300000000000003E-2"/>
  </r>
  <r>
    <x v="4"/>
    <x v="4"/>
    <x v="10"/>
    <n v="77"/>
    <n v="16"/>
    <n v="502.41"/>
    <n v="5"/>
    <n v="0.3125"/>
    <n v="1093.75"/>
    <n v="3"/>
    <n v="3.8399999999999997E-2"/>
  </r>
  <r>
    <x v="5"/>
    <x v="4"/>
    <x v="10"/>
    <n v="52"/>
    <n v="6"/>
    <n v="492.23"/>
    <n v="2"/>
    <n v="0.33333333333333331"/>
    <n v="3775.84"/>
    <n v="2"/>
    <n v="1.1000000000000001E-2"/>
  </r>
  <r>
    <x v="6"/>
    <x v="4"/>
    <x v="10"/>
    <n v="74"/>
    <n v="17"/>
    <n v="284.91000000000003"/>
    <n v="3"/>
    <n v="0.17647058823529413"/>
    <n v="2481.64"/>
    <n v="1"/>
    <n v="9.0500000000000011E-2"/>
  </r>
  <r>
    <x v="7"/>
    <x v="4"/>
    <x v="10"/>
    <n v="50"/>
    <n v="9"/>
    <n v="237.95"/>
    <n v="5"/>
    <n v="0.55555555555555558"/>
    <n v="3982.36"/>
    <n v="3"/>
    <n v="4.4299999999999999E-2"/>
  </r>
  <r>
    <x v="8"/>
    <x v="4"/>
    <x v="10"/>
    <n v="30"/>
    <n v="21"/>
    <n v="372.34"/>
    <n v="7"/>
    <n v="0.33333333333333331"/>
    <n v="1172.04"/>
    <n v="2"/>
    <n v="5.4800000000000001E-2"/>
  </r>
  <r>
    <x v="9"/>
    <x v="4"/>
    <x v="10"/>
    <n v="74"/>
    <n v="13"/>
    <n v="324.77999999999997"/>
    <n v="7"/>
    <n v="0.53846153846153844"/>
    <n v="995.6"/>
    <n v="1"/>
    <n v="3.0699999999999998E-2"/>
  </r>
  <r>
    <x v="10"/>
    <x v="4"/>
    <x v="10"/>
    <n v="23"/>
    <n v="7"/>
    <n v="190.12"/>
    <n v="4"/>
    <n v="0.5714285714285714"/>
    <n v="788.65"/>
    <n v="3"/>
    <n v="7.2000000000000008E-2"/>
  </r>
  <r>
    <x v="11"/>
    <x v="4"/>
    <x v="10"/>
    <n v="32"/>
    <n v="7"/>
    <n v="563.41999999999996"/>
    <n v="6"/>
    <n v="0.8571428571428571"/>
    <n v="3543.71"/>
    <n v="2"/>
    <n v="4.3799999999999999E-2"/>
  </r>
  <r>
    <x v="12"/>
    <x v="4"/>
    <x v="10"/>
    <n v="59"/>
    <n v="21"/>
    <n v="633.37"/>
    <n v="2"/>
    <n v="9.5238095238095233E-2"/>
    <n v="358.29"/>
    <n v="1"/>
    <n v="3.27E-2"/>
  </r>
  <r>
    <x v="13"/>
    <x v="4"/>
    <x v="10"/>
    <n v="30"/>
    <n v="6"/>
    <n v="209.84"/>
    <n v="1"/>
    <n v="0.16666666666666666"/>
    <n v="3534.1"/>
    <n v="3"/>
    <n v="4.2000000000000003E-2"/>
  </r>
  <r>
    <x v="14"/>
    <x v="4"/>
    <x v="10"/>
    <n v="65"/>
    <n v="9"/>
    <n v="220.46"/>
    <n v="3"/>
    <n v="0.33333333333333331"/>
    <n v="707.75"/>
    <n v="2"/>
    <n v="2.76E-2"/>
  </r>
  <r>
    <x v="15"/>
    <x v="4"/>
    <x v="10"/>
    <n v="100"/>
    <n v="6"/>
    <n v="153.34"/>
    <n v="3"/>
    <n v="0.5"/>
    <n v="1248.54"/>
    <n v="1"/>
    <n v="7.9000000000000001E-2"/>
  </r>
  <r>
    <x v="16"/>
    <x v="4"/>
    <x v="10"/>
    <n v="81"/>
    <n v="7"/>
    <n v="79.62"/>
    <n v="7"/>
    <n v="1"/>
    <n v="3892.76"/>
    <n v="3"/>
    <n v="9.74E-2"/>
  </r>
  <r>
    <x v="17"/>
    <x v="4"/>
    <x v="10"/>
    <n v="26"/>
    <n v="17"/>
    <n v="504.54"/>
    <n v="8"/>
    <n v="0.47058823529411764"/>
    <n v="3359.77"/>
    <n v="2"/>
    <n v="3.2000000000000001E-2"/>
  </r>
  <r>
    <x v="18"/>
    <x v="4"/>
    <x v="10"/>
    <n v="96"/>
    <n v="16"/>
    <n v="161.69"/>
    <n v="5"/>
    <n v="0.3125"/>
    <n v="392.05"/>
    <n v="1"/>
    <n v="9.5700000000000007E-2"/>
  </r>
  <r>
    <x v="19"/>
    <x v="4"/>
    <x v="10"/>
    <n v="72"/>
    <n v="12"/>
    <n v="474.28"/>
    <n v="1"/>
    <n v="8.3333333333333329E-2"/>
    <n v="1097.5999999999999"/>
    <n v="3"/>
    <n v="1E-3"/>
  </r>
  <r>
    <x v="20"/>
    <x v="4"/>
    <x v="10"/>
    <n v="18"/>
    <n v="15"/>
    <n v="268.94"/>
    <n v="1"/>
    <n v="6.6666666666666666E-2"/>
    <n v="1469.71"/>
    <n v="2"/>
    <n v="5.0900000000000001E-2"/>
  </r>
  <r>
    <x v="21"/>
    <x v="4"/>
    <x v="10"/>
    <n v="87"/>
    <n v="5"/>
    <n v="601.28"/>
    <n v="2"/>
    <n v="0.4"/>
    <n v="3491.19"/>
    <n v="1"/>
    <n v="2.9700000000000001E-2"/>
  </r>
  <r>
    <x v="22"/>
    <x v="4"/>
    <x v="10"/>
    <n v="73"/>
    <n v="8"/>
    <n v="182.48"/>
    <n v="8"/>
    <n v="1"/>
    <n v="548.46"/>
    <n v="1"/>
    <n v="8.8200000000000001E-2"/>
  </r>
  <r>
    <x v="23"/>
    <x v="4"/>
    <x v="10"/>
    <n v="97"/>
    <n v="14"/>
    <n v="368.16"/>
    <n v="0"/>
    <n v="0"/>
    <n v="3020.19"/>
    <n v="3"/>
    <n v="2.5099999999999997E-2"/>
  </r>
  <r>
    <x v="24"/>
    <x v="4"/>
    <x v="10"/>
    <n v="28"/>
    <n v="12"/>
    <n v="565.51"/>
    <n v="4"/>
    <n v="0.33333333333333331"/>
    <n v="231.16"/>
    <n v="2"/>
    <n v="6.2699999999999992E-2"/>
  </r>
  <r>
    <x v="25"/>
    <x v="4"/>
    <x v="10"/>
    <n v="41"/>
    <n v="13"/>
    <n v="370.44"/>
    <n v="9"/>
    <n v="0.69230769230769229"/>
    <n v="4484.96"/>
    <n v="1"/>
    <n v="8.5199999999999998E-2"/>
  </r>
  <r>
    <x v="0"/>
    <x v="4"/>
    <x v="11"/>
    <n v="61"/>
    <n v="13"/>
    <n v="356.61"/>
    <n v="7"/>
    <n v="0.53846153846153844"/>
    <n v="4099.6400000000003"/>
    <n v="3"/>
    <n v="2.9600000000000001E-2"/>
  </r>
  <r>
    <x v="1"/>
    <x v="4"/>
    <x v="11"/>
    <n v="80"/>
    <n v="13"/>
    <n v="369.46"/>
    <n v="4"/>
    <n v="0.30769230769230771"/>
    <n v="3996.04"/>
    <n v="2"/>
    <n v="3.7499999999999999E-2"/>
  </r>
  <r>
    <x v="2"/>
    <x v="4"/>
    <x v="11"/>
    <n v="51"/>
    <n v="14"/>
    <n v="419.93"/>
    <n v="2"/>
    <n v="0.14285714285714285"/>
    <n v="3543.6"/>
    <n v="1"/>
    <n v="4.6300000000000001E-2"/>
  </r>
  <r>
    <x v="3"/>
    <x v="4"/>
    <x v="11"/>
    <n v="20"/>
    <n v="5"/>
    <n v="71.41"/>
    <n v="3"/>
    <n v="0.6"/>
    <n v="1527.27"/>
    <n v="3"/>
    <n v="2.7000000000000003E-2"/>
  </r>
  <r>
    <x v="4"/>
    <x v="4"/>
    <x v="11"/>
    <n v="101"/>
    <n v="14"/>
    <n v="503.93"/>
    <n v="5"/>
    <n v="0.35714285714285715"/>
    <n v="1116.6099999999999"/>
    <n v="2"/>
    <n v="3.7000000000000005E-2"/>
  </r>
  <r>
    <x v="5"/>
    <x v="4"/>
    <x v="11"/>
    <n v="70"/>
    <n v="6"/>
    <n v="488.97"/>
    <n v="3"/>
    <n v="0.5"/>
    <n v="3767.09"/>
    <n v="1"/>
    <n v="1.0800000000000001E-2"/>
  </r>
  <r>
    <x v="6"/>
    <x v="4"/>
    <x v="11"/>
    <n v="84"/>
    <n v="19"/>
    <n v="301.2"/>
    <n v="2"/>
    <n v="0.10526315789473684"/>
    <n v="2608.4699999999998"/>
    <n v="3"/>
    <n v="0.1032"/>
  </r>
  <r>
    <x v="7"/>
    <x v="4"/>
    <x v="11"/>
    <n v="50"/>
    <n v="6"/>
    <n v="219.19"/>
    <n v="4"/>
    <n v="0.66666666666666663"/>
    <n v="3836.95"/>
    <n v="2"/>
    <n v="3.8699999999999998E-2"/>
  </r>
  <r>
    <x v="8"/>
    <x v="4"/>
    <x v="11"/>
    <n v="28"/>
    <n v="19"/>
    <n v="352.06"/>
    <n v="9"/>
    <n v="0.47368421052631576"/>
    <n v="1107.51"/>
    <n v="3"/>
    <n v="5.5E-2"/>
  </r>
  <r>
    <x v="9"/>
    <x v="4"/>
    <x v="11"/>
    <n v="69"/>
    <n v="16"/>
    <n v="337.7"/>
    <n v="9"/>
    <n v="0.5625"/>
    <n v="947.47"/>
    <n v="2"/>
    <n v="3.56E-2"/>
  </r>
  <r>
    <x v="10"/>
    <x v="4"/>
    <x v="11"/>
    <n v="18"/>
    <n v="6"/>
    <n v="212.39"/>
    <n v="3"/>
    <n v="0.5"/>
    <n v="730.81"/>
    <n v="1"/>
    <n v="8.6699999999999999E-2"/>
  </r>
  <r>
    <x v="11"/>
    <x v="4"/>
    <x v="11"/>
    <n v="40"/>
    <n v="7"/>
    <n v="486.93"/>
    <n v="7"/>
    <n v="1"/>
    <n v="3643.63"/>
    <n v="3"/>
    <n v="4.0199999999999993E-2"/>
  </r>
  <r>
    <x v="12"/>
    <x v="4"/>
    <x v="11"/>
    <n v="77"/>
    <n v="16"/>
    <n v="539.26"/>
    <n v="3"/>
    <n v="0.1875"/>
    <n v="379.83"/>
    <n v="2"/>
    <n v="3.7999999999999999E-2"/>
  </r>
  <r>
    <x v="13"/>
    <x v="4"/>
    <x v="11"/>
    <n v="31"/>
    <n v="6"/>
    <n v="191.66"/>
    <n v="2"/>
    <n v="0.33333333333333331"/>
    <n v="3753.06"/>
    <n v="1"/>
    <n v="3.8300000000000001E-2"/>
  </r>
  <r>
    <x v="14"/>
    <x v="4"/>
    <x v="11"/>
    <n v="57"/>
    <n v="7"/>
    <n v="190.08"/>
    <n v="2"/>
    <n v="0.2857142857142857"/>
    <n v="649.97"/>
    <n v="3"/>
    <n v="2.8799999999999999E-2"/>
  </r>
  <r>
    <x v="15"/>
    <x v="4"/>
    <x v="11"/>
    <n v="88"/>
    <n v="5"/>
    <n v="168.89"/>
    <n v="3"/>
    <n v="0.6"/>
    <n v="1153.93"/>
    <n v="2"/>
    <n v="8.2500000000000004E-2"/>
  </r>
  <r>
    <x v="16"/>
    <x v="4"/>
    <x v="11"/>
    <n v="74"/>
    <n v="6"/>
    <n v="87.83"/>
    <n v="6"/>
    <n v="1"/>
    <n v="3741.27"/>
    <n v="1"/>
    <n v="9.9700000000000011E-2"/>
  </r>
  <r>
    <x v="17"/>
    <x v="4"/>
    <x v="11"/>
    <n v="26"/>
    <n v="13"/>
    <n v="543.15"/>
    <n v="6"/>
    <n v="0.46153846153846156"/>
    <n v="3793.56"/>
    <n v="3"/>
    <n v="3.56E-2"/>
  </r>
  <r>
    <x v="18"/>
    <x v="4"/>
    <x v="11"/>
    <n v="99"/>
    <n v="15"/>
    <n v="181.12"/>
    <n v="5"/>
    <n v="0.33333333333333331"/>
    <n v="454.09"/>
    <n v="2"/>
    <n v="9.3599999999999989E-2"/>
  </r>
  <r>
    <x v="19"/>
    <x v="4"/>
    <x v="11"/>
    <n v="74"/>
    <n v="14"/>
    <n v="508.85"/>
    <n v="1"/>
    <n v="7.1428571428571425E-2"/>
    <n v="1182.6300000000001"/>
    <n v="1"/>
    <n v="8.9999999999999998E-4"/>
  </r>
  <r>
    <x v="20"/>
    <x v="4"/>
    <x v="11"/>
    <n v="21"/>
    <n v="17"/>
    <n v="297.83999999999997"/>
    <n v="1"/>
    <n v="5.8823529411764705E-2"/>
    <n v="1553.7"/>
    <n v="1"/>
    <n v="5.0700000000000002E-2"/>
  </r>
  <r>
    <x v="21"/>
    <x v="4"/>
    <x v="11"/>
    <n v="94"/>
    <n v="6"/>
    <n v="537.26"/>
    <n v="1"/>
    <n v="0.16666666666666666"/>
    <n v="3665.55"/>
    <n v="3"/>
    <n v="3.0800000000000001E-2"/>
  </r>
  <r>
    <x v="22"/>
    <x v="4"/>
    <x v="11"/>
    <n v="83"/>
    <n v="9"/>
    <n v="188.49"/>
    <n v="7"/>
    <n v="0.77777777777777779"/>
    <n v="545.09"/>
    <n v="2"/>
    <n v="8.5600000000000009E-2"/>
  </r>
  <r>
    <x v="23"/>
    <x v="4"/>
    <x v="11"/>
    <n v="84"/>
    <n v="14"/>
    <n v="370.36"/>
    <n v="0"/>
    <n v="0"/>
    <n v="2605.02"/>
    <n v="1"/>
    <n v="2.5499999999999998E-2"/>
  </r>
  <r>
    <x v="24"/>
    <x v="4"/>
    <x v="11"/>
    <n v="32"/>
    <n v="10"/>
    <n v="500.83"/>
    <n v="4"/>
    <n v="0.4"/>
    <n v="239.13"/>
    <n v="3"/>
    <n v="6.1900000000000004E-2"/>
  </r>
  <r>
    <x v="25"/>
    <x v="4"/>
    <x v="11"/>
    <n v="39"/>
    <n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9D6DA-E871-4A41-AD37-5014F4ED79A2}" name="P_03" cacheId="4"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9" firstHeaderRow="1" firstDataRow="1" firstDataCol="1"/>
  <pivotFields count="12">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0" numFmtId="44"/>
  </dataFields>
  <formats count="2">
    <format dxfId="27">
      <pivotArea outline="0" collapsedLevelsAreSubtotals="1" fieldPosition="0"/>
    </format>
    <format dxfId="2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9A688-C26B-42CF-B33D-DA5CA2313F6C}" name="P_02" cacheId="4"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16" firstHeaderRow="1" firstDataRow="1" firstDataCol="1"/>
  <pivotFields count="12">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dataField="1"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Deal Value ($)"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691CCB-39EE-4501-A589-748BB4F2EF27}" name="P_01" cacheId="4"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2">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1">
    <format dxfId="28">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C9D8DE-1D92-4B3D-9EEC-AD4B067BFE61}" name="PivotTable5" cacheId="4"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C8:G35" firstHeaderRow="0" firstDataRow="1" firstDataCol="1"/>
  <pivotFields count="12">
    <pivotField axis="axisRow"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outline="0" showAll="0"/>
    <pivotField compact="0" numFmtId="9"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Deal Value ($)" fld="8" baseField="0" baseItem="0"/>
    <dataField name=" Total Calls" fld="3" baseField="0" baseItem="0"/>
    <dataField name=" Calls Reached" fld="4" baseField="0" baseItem="0"/>
    <dataField name=" Deals Closed" fld="6" baseField="0" baseItem="0"/>
  </dataFields>
  <formats count="2">
    <format dxfId="21">
      <pivotArea field="0" type="button" dataOnly="0" labelOnly="1" outline="0" axis="axisRow" fieldPosition="0"/>
    </format>
    <format dxfId="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2127795-4BE6-40BD-AD69-41F7C80AC39E}" sourceName="Name">
  <pivotTables>
    <pivotTable tabId="2" name="PivotTable5"/>
    <pivotTable tabId="3" name="P_01"/>
    <pivotTable tabId="3" name="P_02"/>
    <pivotTable tabId="3" name="P_03"/>
  </pivotTables>
  <data>
    <tabular pivotCacheId="1360232217">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2F66BCC4-4824-4893-83F2-6E9D86E2B05D}" cache="Slicer_Name" caption="Name"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30AF8A-15EB-447F-B1E8-58CF52900BD1}" name="SalesData" displayName="SalesData" ref="A1:K313" totalsRowShown="0">
  <autoFilter ref="A1:K313" xr:uid="{B630AF8A-15EB-447F-B1E8-58CF52900BD1}"/>
  <tableColumns count="11">
    <tableColumn id="1" xr3:uid="{99D38307-AE41-43DB-BE21-9A5A53D2D08E}" name="Name"/>
    <tableColumn id="11" xr3:uid="{18035043-0EBD-4BA1-8DCA-463813486897}" name="Region"/>
    <tableColumn id="2" xr3:uid="{B1F3C5AE-299C-4837-9614-C738CA14AA43}" name="Date" dataDxfId="31"/>
    <tableColumn id="3" xr3:uid="{02EE7EEE-D6D8-430F-AA92-BC3D92B664C3}" name="Total Calls"/>
    <tableColumn id="4" xr3:uid="{E92C087A-F08A-4EA4-A99F-CBA795ED78FF}" name="Calls Reached"/>
    <tableColumn id="5" xr3:uid="{A5BF4765-CBC1-4D98-BA20-933BB2E34FAA}" name="Average Duration (sec)"/>
    <tableColumn id="6" xr3:uid="{C26B3842-1C6E-4684-9B39-FC90ECF610A5}" name="Deals Closed"/>
    <tableColumn id="7" xr3:uid="{120F17B7-2376-401A-86B0-678AB4173188}" name="Call Conversion Rate (%)" dataDxfId="30"/>
    <tableColumn id="8" xr3:uid="{95604854-07B2-4357-A658-366BE1412C1D}" name="Deal Value ($)"/>
    <tableColumn id="10" xr3:uid="{4A3AA7C2-83F8-4F93-ADCF-BA38366A1808}" name="Service Level"/>
    <tableColumn id="9" xr3:uid="{816238B8-BBA0-42A4-8177-B5FDF7928B64}" name="Call Drop Rate (%)"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7B83-C8E1-4A47-A7DB-FD09955E3DF8}">
  <dimension ref="A3:K16"/>
  <sheetViews>
    <sheetView topLeftCell="B1" workbookViewId="0">
      <selection activeCell="J3" sqref="J3:K8"/>
    </sheetView>
  </sheetViews>
  <sheetFormatPr defaultRowHeight="14"/>
  <cols>
    <col min="1" max="1" width="12.9140625" bestFit="1" customWidth="1"/>
    <col min="2" max="2" width="11.9140625" bestFit="1" customWidth="1"/>
    <col min="3" max="3" width="18.6640625" bestFit="1" customWidth="1"/>
    <col min="4" max="4" width="12.9140625" bestFit="1" customWidth="1"/>
    <col min="5" max="5" width="19.1640625" bestFit="1" customWidth="1"/>
    <col min="7" max="7" width="12.9140625" bestFit="1" customWidth="1"/>
    <col min="8" max="8" width="22.25" bestFit="1" customWidth="1"/>
    <col min="10" max="10" width="9.4140625" bestFit="1" customWidth="1"/>
    <col min="11" max="11" width="14.6640625" bestFit="1" customWidth="1"/>
  </cols>
  <sheetData>
    <row r="3" spans="1:11">
      <c r="A3" s="9" t="s">
        <v>45</v>
      </c>
      <c r="D3" s="9" t="s">
        <v>50</v>
      </c>
      <c r="E3" t="s">
        <v>44</v>
      </c>
      <c r="G3" s="9" t="s">
        <v>50</v>
      </c>
      <c r="H3" t="s">
        <v>64</v>
      </c>
      <c r="J3" s="13" t="s">
        <v>65</v>
      </c>
      <c r="K3" s="13" t="s">
        <v>66</v>
      </c>
    </row>
    <row r="4" spans="1:11">
      <c r="A4" s="10" t="s">
        <v>46</v>
      </c>
      <c r="B4" s="8">
        <v>18300</v>
      </c>
      <c r="D4" s="10" t="s">
        <v>52</v>
      </c>
      <c r="E4" s="8">
        <v>57863.17</v>
      </c>
      <c r="G4" s="10" t="s">
        <v>41</v>
      </c>
      <c r="H4" s="11">
        <v>1.9830508474576272</v>
      </c>
      <c r="J4" s="13" t="str">
        <f>G4</f>
        <v>Barisal</v>
      </c>
      <c r="K4" s="13">
        <f>H4</f>
        <v>1.9830508474576272</v>
      </c>
    </row>
    <row r="5" spans="1:11">
      <c r="A5" s="10" t="s">
        <v>47</v>
      </c>
      <c r="B5" s="8">
        <v>3619</v>
      </c>
      <c r="D5" s="10" t="s">
        <v>53</v>
      </c>
      <c r="E5" s="8">
        <v>59230.42</v>
      </c>
      <c r="G5" s="10" t="s">
        <v>40</v>
      </c>
      <c r="H5" s="11">
        <v>1.9767441860465116</v>
      </c>
      <c r="J5" s="13" t="str">
        <f t="shared" ref="J5:J8" si="0">G5</f>
        <v>Chittagong</v>
      </c>
      <c r="K5" s="13">
        <f t="shared" ref="K5:K8" si="1">H5</f>
        <v>1.9767441860465116</v>
      </c>
    </row>
    <row r="6" spans="1:11">
      <c r="A6" s="10" t="s">
        <v>48</v>
      </c>
      <c r="B6" s="8">
        <v>1309</v>
      </c>
      <c r="D6" s="10" t="s">
        <v>54</v>
      </c>
      <c r="E6" s="8">
        <v>60127</v>
      </c>
      <c r="G6" s="10" t="s">
        <v>12</v>
      </c>
      <c r="H6" s="11">
        <v>2</v>
      </c>
      <c r="J6" s="13" t="str">
        <f t="shared" si="0"/>
        <v>Dhaka</v>
      </c>
      <c r="K6" s="13">
        <f t="shared" si="1"/>
        <v>2</v>
      </c>
    </row>
    <row r="7" spans="1:11">
      <c r="A7" s="10" t="s">
        <v>49</v>
      </c>
      <c r="B7" s="11">
        <v>706194.88999999966</v>
      </c>
      <c r="D7" s="10" t="s">
        <v>55</v>
      </c>
      <c r="E7" s="8">
        <v>58604.41</v>
      </c>
      <c r="G7" s="10" t="s">
        <v>36</v>
      </c>
      <c r="H7" s="11">
        <v>1.9787234042553192</v>
      </c>
      <c r="J7" s="13" t="str">
        <f t="shared" si="0"/>
        <v>Rangpur</v>
      </c>
      <c r="K7" s="13">
        <f t="shared" si="1"/>
        <v>1.9787234042553192</v>
      </c>
    </row>
    <row r="8" spans="1:11">
      <c r="D8" s="10" t="s">
        <v>56</v>
      </c>
      <c r="E8" s="8">
        <v>58564.01999999999</v>
      </c>
      <c r="G8" s="10" t="s">
        <v>39</v>
      </c>
      <c r="H8" s="11">
        <v>1.9545454545454546</v>
      </c>
      <c r="J8" s="13" t="str">
        <f t="shared" si="0"/>
        <v>Sylhet</v>
      </c>
      <c r="K8" s="13">
        <f t="shared" si="1"/>
        <v>1.9545454545454546</v>
      </c>
    </row>
    <row r="9" spans="1:11">
      <c r="D9" s="10" t="s">
        <v>57</v>
      </c>
      <c r="E9" s="8">
        <v>58260.729999999996</v>
      </c>
      <c r="G9" s="10" t="s">
        <v>51</v>
      </c>
      <c r="H9" s="12">
        <v>1.9807692307692308</v>
      </c>
    </row>
    <row r="10" spans="1:11">
      <c r="D10" s="10" t="s">
        <v>58</v>
      </c>
      <c r="E10" s="8">
        <v>58845.83</v>
      </c>
    </row>
    <row r="11" spans="1:11">
      <c r="D11" s="10" t="s">
        <v>59</v>
      </c>
      <c r="E11" s="8">
        <v>58668.120000000017</v>
      </c>
    </row>
    <row r="12" spans="1:11">
      <c r="D12" s="10" t="s">
        <v>60</v>
      </c>
      <c r="E12" s="8">
        <v>59025.210000000006</v>
      </c>
    </row>
    <row r="13" spans="1:11">
      <c r="D13" s="10" t="s">
        <v>61</v>
      </c>
      <c r="E13" s="8">
        <v>58653.95</v>
      </c>
    </row>
    <row r="14" spans="1:11">
      <c r="D14" s="10" t="s">
        <v>62</v>
      </c>
      <c r="E14" s="8">
        <v>59136.610000000008</v>
      </c>
    </row>
    <row r="15" spans="1:11">
      <c r="D15" s="10" t="s">
        <v>63</v>
      </c>
      <c r="E15" s="8">
        <v>59215.419999999984</v>
      </c>
    </row>
    <row r="16" spans="1:11">
      <c r="D16" s="10" t="s">
        <v>51</v>
      </c>
      <c r="E16" s="8">
        <v>706194.8899999999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9CE0-C69C-4F14-BA86-DBCFC13E716F}">
  <dimension ref="A1:K313"/>
  <sheetViews>
    <sheetView topLeftCell="A272" workbookViewId="0">
      <selection activeCell="A2" sqref="A2"/>
    </sheetView>
  </sheetViews>
  <sheetFormatPr defaultRowHeight="14"/>
  <sheetData>
    <row r="1" spans="1:11">
      <c r="A1" t="s">
        <v>0</v>
      </c>
      <c r="B1" t="s">
        <v>1</v>
      </c>
      <c r="C1" s="1" t="s">
        <v>2</v>
      </c>
      <c r="D1" t="s">
        <v>3</v>
      </c>
      <c r="E1" t="s">
        <v>4</v>
      </c>
      <c r="F1" t="s">
        <v>5</v>
      </c>
      <c r="G1" t="s">
        <v>6</v>
      </c>
      <c r="H1" s="2" t="s">
        <v>7</v>
      </c>
      <c r="I1" t="s">
        <v>8</v>
      </c>
      <c r="J1" t="s">
        <v>9</v>
      </c>
      <c r="K1" t="s">
        <v>10</v>
      </c>
    </row>
    <row r="2" spans="1:11">
      <c r="A2" t="s">
        <v>11</v>
      </c>
      <c r="B2" t="s">
        <v>12</v>
      </c>
      <c r="C2" s="1">
        <v>45292</v>
      </c>
      <c r="D2">
        <v>74</v>
      </c>
      <c r="E2">
        <v>12</v>
      </c>
      <c r="F2">
        <v>330.42</v>
      </c>
      <c r="G2">
        <v>7</v>
      </c>
      <c r="H2" s="2">
        <v>0.58333333333333337</v>
      </c>
      <c r="I2">
        <v>4276.3100000000004</v>
      </c>
      <c r="J2">
        <v>3</v>
      </c>
      <c r="K2" s="2">
        <v>2.9500000000000002E-2</v>
      </c>
    </row>
    <row r="3" spans="1:11">
      <c r="A3" t="s">
        <v>13</v>
      </c>
      <c r="B3" t="s">
        <v>12</v>
      </c>
      <c r="C3" s="1">
        <v>45292</v>
      </c>
      <c r="D3">
        <v>78</v>
      </c>
      <c r="E3">
        <v>12</v>
      </c>
      <c r="F3">
        <v>377.5</v>
      </c>
      <c r="G3">
        <v>4</v>
      </c>
      <c r="H3" s="2">
        <v>0.33333333333333331</v>
      </c>
      <c r="I3">
        <v>3880.98</v>
      </c>
      <c r="J3">
        <v>2</v>
      </c>
      <c r="K3" s="2">
        <v>4.3400000000000001E-2</v>
      </c>
    </row>
    <row r="4" spans="1:11">
      <c r="A4" t="s">
        <v>14</v>
      </c>
      <c r="B4" t="s">
        <v>12</v>
      </c>
      <c r="C4" s="1">
        <v>45292</v>
      </c>
      <c r="D4">
        <v>47</v>
      </c>
      <c r="E4">
        <v>14</v>
      </c>
      <c r="F4">
        <v>418.92</v>
      </c>
      <c r="G4">
        <v>2</v>
      </c>
      <c r="H4" s="2">
        <v>0.14285714285714285</v>
      </c>
      <c r="I4">
        <v>3716</v>
      </c>
      <c r="J4">
        <v>1</v>
      </c>
      <c r="K4" s="2">
        <v>4.3899999999999995E-2</v>
      </c>
    </row>
    <row r="5" spans="1:11">
      <c r="A5" t="s">
        <v>15</v>
      </c>
      <c r="B5" t="s">
        <v>12</v>
      </c>
      <c r="C5" s="1">
        <v>45292</v>
      </c>
      <c r="D5">
        <v>24</v>
      </c>
      <c r="E5">
        <v>6</v>
      </c>
      <c r="F5">
        <v>76.930000000000007</v>
      </c>
      <c r="G5">
        <v>4</v>
      </c>
      <c r="H5" s="2">
        <v>0.66666666666666663</v>
      </c>
      <c r="I5">
        <v>1552.35</v>
      </c>
      <c r="J5">
        <v>3</v>
      </c>
      <c r="K5" s="2">
        <v>3.0800000000000001E-2</v>
      </c>
    </row>
    <row r="6" spans="1:11">
      <c r="A6" t="s">
        <v>16</v>
      </c>
      <c r="B6" t="s">
        <v>12</v>
      </c>
      <c r="C6" s="1">
        <v>45292</v>
      </c>
      <c r="D6">
        <v>81</v>
      </c>
      <c r="E6">
        <v>16</v>
      </c>
      <c r="F6">
        <v>516.23</v>
      </c>
      <c r="G6">
        <v>5</v>
      </c>
      <c r="H6" s="2">
        <v>0.3125</v>
      </c>
      <c r="I6">
        <v>1030.68</v>
      </c>
      <c r="J6">
        <v>2</v>
      </c>
      <c r="K6" s="2">
        <v>4.1100000000000005E-2</v>
      </c>
    </row>
    <row r="7" spans="1:11">
      <c r="A7" t="s">
        <v>17</v>
      </c>
      <c r="B7" t="s">
        <v>12</v>
      </c>
      <c r="C7" s="1">
        <v>45292</v>
      </c>
      <c r="D7">
        <v>59</v>
      </c>
      <c r="E7">
        <v>5</v>
      </c>
      <c r="F7">
        <v>520.05999999999995</v>
      </c>
      <c r="G7">
        <v>3</v>
      </c>
      <c r="H7" s="2">
        <v>0.6</v>
      </c>
      <c r="I7">
        <v>3546.72</v>
      </c>
      <c r="J7">
        <v>1</v>
      </c>
      <c r="K7" s="2">
        <v>1.2699999999999999E-2</v>
      </c>
    </row>
    <row r="8" spans="1:11">
      <c r="A8" t="s">
        <v>18</v>
      </c>
      <c r="B8" t="s">
        <v>12</v>
      </c>
      <c r="C8" s="1">
        <v>45292</v>
      </c>
      <c r="D8">
        <v>68</v>
      </c>
      <c r="E8">
        <v>19</v>
      </c>
      <c r="F8">
        <v>290.39</v>
      </c>
      <c r="G8">
        <v>3</v>
      </c>
      <c r="H8" s="2">
        <v>0.15789473684210525</v>
      </c>
      <c r="I8">
        <v>2472.2399999999998</v>
      </c>
      <c r="J8">
        <v>3</v>
      </c>
      <c r="K8" s="2">
        <v>9.5399999999999985E-2</v>
      </c>
    </row>
    <row r="9" spans="1:11">
      <c r="A9" t="s">
        <v>19</v>
      </c>
      <c r="B9" t="s">
        <v>12</v>
      </c>
      <c r="C9" s="1">
        <v>45292</v>
      </c>
      <c r="D9">
        <v>60</v>
      </c>
      <c r="E9">
        <v>7</v>
      </c>
      <c r="F9">
        <v>251.7</v>
      </c>
      <c r="G9">
        <v>5</v>
      </c>
      <c r="H9" s="2">
        <v>0.7142857142857143</v>
      </c>
      <c r="I9">
        <v>3956.69</v>
      </c>
      <c r="J9">
        <v>2</v>
      </c>
      <c r="K9" s="2">
        <v>4.1100000000000005E-2</v>
      </c>
    </row>
    <row r="10" spans="1:11">
      <c r="A10" t="s">
        <v>20</v>
      </c>
      <c r="B10" t="s">
        <v>12</v>
      </c>
      <c r="C10" s="1">
        <v>45292</v>
      </c>
      <c r="D10">
        <v>34</v>
      </c>
      <c r="E10">
        <v>21</v>
      </c>
      <c r="F10">
        <v>362.62</v>
      </c>
      <c r="G10">
        <v>9</v>
      </c>
      <c r="H10" s="2">
        <v>0.42857142857142855</v>
      </c>
      <c r="I10">
        <v>1140.08</v>
      </c>
      <c r="J10">
        <v>1</v>
      </c>
      <c r="K10" s="2">
        <v>5.4600000000000003E-2</v>
      </c>
    </row>
    <row r="11" spans="1:11">
      <c r="A11" t="s">
        <v>21</v>
      </c>
      <c r="B11" t="s">
        <v>12</v>
      </c>
      <c r="C11" s="1">
        <v>45292</v>
      </c>
      <c r="D11">
        <v>59</v>
      </c>
      <c r="E11">
        <v>13</v>
      </c>
      <c r="F11">
        <v>307.49</v>
      </c>
      <c r="G11">
        <v>10</v>
      </c>
      <c r="H11" s="2">
        <v>0.76923076923076927</v>
      </c>
      <c r="I11">
        <v>979.09</v>
      </c>
      <c r="J11">
        <v>3</v>
      </c>
      <c r="K11" s="2">
        <v>3.27E-2</v>
      </c>
    </row>
    <row r="12" spans="1:11">
      <c r="A12" t="s">
        <v>22</v>
      </c>
      <c r="B12" t="s">
        <v>12</v>
      </c>
      <c r="C12" s="1">
        <v>45292</v>
      </c>
      <c r="D12">
        <v>18</v>
      </c>
      <c r="E12">
        <v>8</v>
      </c>
      <c r="F12">
        <v>206.81</v>
      </c>
      <c r="G12">
        <v>7</v>
      </c>
      <c r="H12" s="2">
        <v>0.875</v>
      </c>
      <c r="I12">
        <v>720.56</v>
      </c>
      <c r="J12">
        <v>2</v>
      </c>
      <c r="K12" s="2">
        <v>7.8899999999999998E-2</v>
      </c>
    </row>
    <row r="13" spans="1:11">
      <c r="A13" t="s">
        <v>23</v>
      </c>
      <c r="B13" t="s">
        <v>12</v>
      </c>
      <c r="C13" s="1">
        <v>45292</v>
      </c>
      <c r="D13">
        <v>36</v>
      </c>
      <c r="E13">
        <v>6</v>
      </c>
      <c r="F13">
        <v>547.6</v>
      </c>
      <c r="G13">
        <v>5</v>
      </c>
      <c r="H13" s="2">
        <v>0.83333333333333337</v>
      </c>
      <c r="I13">
        <v>3463.18</v>
      </c>
      <c r="J13">
        <v>1</v>
      </c>
      <c r="K13" s="2">
        <v>3.7599999999999995E-2</v>
      </c>
    </row>
    <row r="14" spans="1:11">
      <c r="A14" t="s">
        <v>24</v>
      </c>
      <c r="B14" t="s">
        <v>12</v>
      </c>
      <c r="C14" s="1">
        <v>45292</v>
      </c>
      <c r="D14">
        <v>67</v>
      </c>
      <c r="E14">
        <v>17</v>
      </c>
      <c r="F14">
        <v>552.54999999999995</v>
      </c>
      <c r="G14">
        <v>2</v>
      </c>
      <c r="H14" s="2">
        <v>0.11764705882352941</v>
      </c>
      <c r="I14">
        <v>330.12</v>
      </c>
      <c r="J14">
        <v>1</v>
      </c>
      <c r="K14" s="2">
        <v>3.7200000000000004E-2</v>
      </c>
    </row>
    <row r="15" spans="1:11">
      <c r="A15" t="s">
        <v>25</v>
      </c>
      <c r="B15" t="s">
        <v>12</v>
      </c>
      <c r="C15" s="1">
        <v>45292</v>
      </c>
      <c r="D15">
        <v>36</v>
      </c>
      <c r="E15">
        <v>9</v>
      </c>
      <c r="F15">
        <v>216.03</v>
      </c>
      <c r="G15">
        <v>2</v>
      </c>
      <c r="H15" s="2">
        <v>0.22222222222222221</v>
      </c>
      <c r="I15">
        <v>4072.07</v>
      </c>
      <c r="J15">
        <v>3</v>
      </c>
      <c r="K15" s="2">
        <v>4.1200000000000001E-2</v>
      </c>
    </row>
    <row r="16" spans="1:11">
      <c r="A16" t="s">
        <v>26</v>
      </c>
      <c r="B16" t="s">
        <v>12</v>
      </c>
      <c r="C16" s="1">
        <v>45292</v>
      </c>
      <c r="D16">
        <v>54</v>
      </c>
      <c r="E16">
        <v>10</v>
      </c>
      <c r="F16">
        <v>208.23</v>
      </c>
      <c r="G16">
        <v>3</v>
      </c>
      <c r="H16" s="2">
        <v>0.3</v>
      </c>
      <c r="I16">
        <v>645.83000000000004</v>
      </c>
      <c r="J16">
        <v>2</v>
      </c>
      <c r="K16" s="2">
        <v>2.7999999999999997E-2</v>
      </c>
    </row>
    <row r="17" spans="1:11">
      <c r="A17" t="s">
        <v>27</v>
      </c>
      <c r="B17" t="s">
        <v>12</v>
      </c>
      <c r="C17" s="1">
        <v>45292</v>
      </c>
      <c r="D17">
        <v>82</v>
      </c>
      <c r="E17">
        <v>4</v>
      </c>
      <c r="F17">
        <v>180.06</v>
      </c>
      <c r="G17">
        <v>4</v>
      </c>
      <c r="H17" s="2">
        <v>1</v>
      </c>
      <c r="I17">
        <v>1207.17</v>
      </c>
      <c r="J17">
        <v>1</v>
      </c>
      <c r="K17" s="2">
        <v>8.4199999999999997E-2</v>
      </c>
    </row>
    <row r="18" spans="1:11">
      <c r="A18" t="s">
        <v>28</v>
      </c>
      <c r="B18" t="s">
        <v>12</v>
      </c>
      <c r="C18" s="1">
        <v>45292</v>
      </c>
      <c r="D18">
        <v>81</v>
      </c>
      <c r="E18">
        <v>7</v>
      </c>
      <c r="F18">
        <v>82.43</v>
      </c>
      <c r="G18">
        <v>7</v>
      </c>
      <c r="H18" s="2">
        <v>1</v>
      </c>
      <c r="I18">
        <v>3463.96</v>
      </c>
      <c r="J18">
        <v>3</v>
      </c>
      <c r="K18" s="2">
        <v>8.4900000000000003E-2</v>
      </c>
    </row>
    <row r="19" spans="1:11">
      <c r="A19" t="s">
        <v>29</v>
      </c>
      <c r="B19" t="s">
        <v>12</v>
      </c>
      <c r="C19" s="1">
        <v>45292</v>
      </c>
      <c r="D19">
        <v>31</v>
      </c>
      <c r="E19">
        <v>17</v>
      </c>
      <c r="F19">
        <v>476.95</v>
      </c>
      <c r="G19">
        <v>7</v>
      </c>
      <c r="H19" s="2">
        <v>0.41176470588235292</v>
      </c>
      <c r="I19">
        <v>3945.43</v>
      </c>
      <c r="J19">
        <v>2</v>
      </c>
      <c r="K19" s="2">
        <v>3.6000000000000004E-2</v>
      </c>
    </row>
    <row r="20" spans="1:11">
      <c r="A20" t="s">
        <v>30</v>
      </c>
      <c r="B20" t="s">
        <v>12</v>
      </c>
      <c r="C20" s="1">
        <v>45292</v>
      </c>
      <c r="D20">
        <v>92</v>
      </c>
      <c r="E20">
        <v>20</v>
      </c>
      <c r="F20">
        <v>161.41999999999999</v>
      </c>
      <c r="G20">
        <v>4</v>
      </c>
      <c r="H20" s="2">
        <v>0.2</v>
      </c>
      <c r="I20">
        <v>425.41</v>
      </c>
      <c r="J20">
        <v>1</v>
      </c>
      <c r="K20" s="2">
        <v>0.1045</v>
      </c>
    </row>
    <row r="21" spans="1:11">
      <c r="A21" t="s">
        <v>31</v>
      </c>
      <c r="B21" t="s">
        <v>12</v>
      </c>
      <c r="C21" s="1">
        <v>45292</v>
      </c>
      <c r="D21">
        <v>73</v>
      </c>
      <c r="E21">
        <v>12</v>
      </c>
      <c r="F21">
        <v>507.45</v>
      </c>
      <c r="G21">
        <v>0</v>
      </c>
      <c r="H21" s="2">
        <v>0</v>
      </c>
      <c r="I21">
        <v>1123.8399999999999</v>
      </c>
      <c r="J21">
        <v>3</v>
      </c>
      <c r="K21" s="2">
        <v>8.9999999999999998E-4</v>
      </c>
    </row>
    <row r="22" spans="1:11">
      <c r="A22" t="s">
        <v>32</v>
      </c>
      <c r="B22" t="s">
        <v>12</v>
      </c>
      <c r="C22" s="1">
        <v>45292</v>
      </c>
      <c r="D22">
        <v>25</v>
      </c>
      <c r="E22">
        <v>14</v>
      </c>
      <c r="F22">
        <v>279.95</v>
      </c>
      <c r="G22">
        <v>2</v>
      </c>
      <c r="H22" s="2">
        <v>0.14285714285714285</v>
      </c>
      <c r="I22">
        <v>1432.23</v>
      </c>
      <c r="J22">
        <v>2</v>
      </c>
      <c r="K22" s="2">
        <v>5.1699999999999996E-2</v>
      </c>
    </row>
    <row r="23" spans="1:11">
      <c r="A23" t="s">
        <v>33</v>
      </c>
      <c r="B23" t="s">
        <v>12</v>
      </c>
      <c r="C23" s="1">
        <v>45292</v>
      </c>
      <c r="D23">
        <v>96</v>
      </c>
      <c r="E23">
        <v>6</v>
      </c>
      <c r="F23">
        <v>532.83000000000004</v>
      </c>
      <c r="G23">
        <v>1</v>
      </c>
      <c r="H23" s="2">
        <v>0.16666666666666666</v>
      </c>
      <c r="I23">
        <v>3173.13</v>
      </c>
      <c r="J23">
        <v>1</v>
      </c>
      <c r="K23" s="2">
        <v>2.8300000000000002E-2</v>
      </c>
    </row>
    <row r="24" spans="1:11">
      <c r="A24" t="s">
        <v>34</v>
      </c>
      <c r="B24" t="s">
        <v>12</v>
      </c>
      <c r="C24" s="1">
        <v>45292</v>
      </c>
      <c r="D24">
        <v>63</v>
      </c>
      <c r="E24">
        <v>8</v>
      </c>
      <c r="F24">
        <v>170.49</v>
      </c>
      <c r="G24">
        <v>7</v>
      </c>
      <c r="H24" s="2">
        <v>0.875</v>
      </c>
      <c r="I24">
        <v>526.12</v>
      </c>
      <c r="J24">
        <v>3</v>
      </c>
      <c r="K24" s="2">
        <v>8.3499999999999991E-2</v>
      </c>
    </row>
    <row r="25" spans="1:11">
      <c r="A25" t="s">
        <v>35</v>
      </c>
      <c r="B25" t="s">
        <v>36</v>
      </c>
      <c r="C25" s="1">
        <v>45292</v>
      </c>
      <c r="D25">
        <v>92</v>
      </c>
      <c r="E25">
        <v>13</v>
      </c>
      <c r="F25">
        <v>422.39</v>
      </c>
      <c r="G25">
        <v>1</v>
      </c>
      <c r="H25" s="2">
        <v>7.6923076923076927E-2</v>
      </c>
      <c r="I25">
        <v>2695.84</v>
      </c>
      <c r="J25">
        <v>2</v>
      </c>
      <c r="K25" s="2">
        <v>2.46E-2</v>
      </c>
    </row>
    <row r="26" spans="1:11">
      <c r="A26" t="s">
        <v>37</v>
      </c>
      <c r="B26" t="s">
        <v>36</v>
      </c>
      <c r="C26" s="1">
        <v>45292</v>
      </c>
      <c r="D26">
        <v>38</v>
      </c>
      <c r="E26">
        <v>10</v>
      </c>
      <c r="F26">
        <v>514.25</v>
      </c>
      <c r="G26">
        <v>4</v>
      </c>
      <c r="H26" s="2">
        <v>0.4</v>
      </c>
      <c r="I26">
        <v>243.62</v>
      </c>
      <c r="J26">
        <v>1</v>
      </c>
      <c r="K26" s="2">
        <v>6.4399999999999999E-2</v>
      </c>
    </row>
    <row r="27" spans="1:11">
      <c r="A27" t="s">
        <v>38</v>
      </c>
      <c r="B27" t="s">
        <v>36</v>
      </c>
      <c r="C27" s="1">
        <v>45292</v>
      </c>
      <c r="D27">
        <v>43</v>
      </c>
      <c r="E27">
        <v>15</v>
      </c>
      <c r="F27">
        <v>363.48</v>
      </c>
      <c r="G27">
        <v>7</v>
      </c>
      <c r="H27" s="2">
        <v>0.46666666666666667</v>
      </c>
      <c r="I27">
        <v>3843.52</v>
      </c>
      <c r="J27">
        <v>3</v>
      </c>
      <c r="K27" s="2">
        <v>8.3400000000000002E-2</v>
      </c>
    </row>
    <row r="28" spans="1:11">
      <c r="A28" t="s">
        <v>11</v>
      </c>
      <c r="B28" t="s">
        <v>36</v>
      </c>
      <c r="C28" s="1">
        <v>45323</v>
      </c>
      <c r="D28">
        <v>62</v>
      </c>
      <c r="E28">
        <v>15</v>
      </c>
      <c r="F28">
        <v>361.38</v>
      </c>
      <c r="G28">
        <v>6</v>
      </c>
      <c r="H28" s="2">
        <v>0.4</v>
      </c>
      <c r="I28">
        <v>4195.1400000000003</v>
      </c>
      <c r="J28">
        <v>2</v>
      </c>
      <c r="K28" s="2">
        <v>2.75E-2</v>
      </c>
    </row>
    <row r="29" spans="1:11">
      <c r="A29" t="s">
        <v>13</v>
      </c>
      <c r="B29" t="s">
        <v>36</v>
      </c>
      <c r="C29" s="1">
        <v>45323</v>
      </c>
      <c r="D29">
        <v>81</v>
      </c>
      <c r="E29">
        <v>14</v>
      </c>
      <c r="F29">
        <v>362.96</v>
      </c>
      <c r="G29">
        <v>5</v>
      </c>
      <c r="H29" s="2">
        <v>0.35714285714285715</v>
      </c>
      <c r="I29">
        <v>3620.19</v>
      </c>
      <c r="J29">
        <v>1</v>
      </c>
      <c r="K29" s="2">
        <v>4.0800000000000003E-2</v>
      </c>
    </row>
    <row r="30" spans="1:11">
      <c r="A30" t="s">
        <v>14</v>
      </c>
      <c r="B30" t="s">
        <v>36</v>
      </c>
      <c r="C30" s="1">
        <v>45323</v>
      </c>
      <c r="D30">
        <v>52</v>
      </c>
      <c r="E30">
        <v>14</v>
      </c>
      <c r="F30">
        <v>382.59</v>
      </c>
      <c r="G30">
        <v>3</v>
      </c>
      <c r="H30" s="2">
        <v>0.21428571428571427</v>
      </c>
      <c r="I30">
        <v>3394.39</v>
      </c>
      <c r="J30">
        <v>3</v>
      </c>
      <c r="K30" s="2">
        <v>4.5599999999999995E-2</v>
      </c>
    </row>
    <row r="31" spans="1:11">
      <c r="A31" t="s">
        <v>15</v>
      </c>
      <c r="B31" t="s">
        <v>36</v>
      </c>
      <c r="C31" s="1">
        <v>45323</v>
      </c>
      <c r="D31">
        <v>22</v>
      </c>
      <c r="E31">
        <v>7</v>
      </c>
      <c r="F31">
        <v>79.459999999999994</v>
      </c>
      <c r="G31">
        <v>3</v>
      </c>
      <c r="H31" s="2">
        <v>0.42857142857142855</v>
      </c>
      <c r="I31">
        <v>1638.74</v>
      </c>
      <c r="J31">
        <v>2</v>
      </c>
      <c r="K31" s="2">
        <v>3.04E-2</v>
      </c>
    </row>
    <row r="32" spans="1:11">
      <c r="A32" t="s">
        <v>16</v>
      </c>
      <c r="B32" t="s">
        <v>36</v>
      </c>
      <c r="C32" s="1">
        <v>45323</v>
      </c>
      <c r="D32">
        <v>93</v>
      </c>
      <c r="E32">
        <v>11</v>
      </c>
      <c r="F32">
        <v>446.3</v>
      </c>
      <c r="G32">
        <v>5</v>
      </c>
      <c r="H32" s="2">
        <v>0.45454545454545453</v>
      </c>
      <c r="I32">
        <v>1057.1400000000001</v>
      </c>
      <c r="J32">
        <v>1</v>
      </c>
      <c r="K32" s="2">
        <v>3.6900000000000002E-2</v>
      </c>
    </row>
    <row r="33" spans="1:11">
      <c r="A33" t="s">
        <v>17</v>
      </c>
      <c r="B33" t="s">
        <v>36</v>
      </c>
      <c r="C33" s="1">
        <v>45323</v>
      </c>
      <c r="D33">
        <v>65</v>
      </c>
      <c r="E33">
        <v>7</v>
      </c>
      <c r="F33">
        <v>461.67</v>
      </c>
      <c r="G33">
        <v>2</v>
      </c>
      <c r="H33" s="2">
        <v>0.2857142857142857</v>
      </c>
      <c r="I33">
        <v>3486.23</v>
      </c>
      <c r="J33">
        <v>3</v>
      </c>
      <c r="K33" s="2">
        <v>1.1200000000000002E-2</v>
      </c>
    </row>
    <row r="34" spans="1:11">
      <c r="A34" t="s">
        <v>18</v>
      </c>
      <c r="B34" t="s">
        <v>36</v>
      </c>
      <c r="C34" s="1">
        <v>45323</v>
      </c>
      <c r="D34">
        <v>90</v>
      </c>
      <c r="E34">
        <v>20</v>
      </c>
      <c r="F34">
        <v>328.63</v>
      </c>
      <c r="G34">
        <v>3</v>
      </c>
      <c r="H34" s="2">
        <v>0.15</v>
      </c>
      <c r="I34">
        <v>2662.44</v>
      </c>
      <c r="J34">
        <v>2</v>
      </c>
      <c r="K34" s="2">
        <v>0.10640000000000001</v>
      </c>
    </row>
    <row r="35" spans="1:11">
      <c r="A35" t="s">
        <v>19</v>
      </c>
      <c r="B35" t="s">
        <v>36</v>
      </c>
      <c r="C35" s="1">
        <v>45323</v>
      </c>
      <c r="D35">
        <v>48</v>
      </c>
      <c r="E35">
        <v>7</v>
      </c>
      <c r="F35">
        <v>247.66</v>
      </c>
      <c r="G35">
        <v>6</v>
      </c>
      <c r="H35" s="2">
        <v>0.8571428571428571</v>
      </c>
      <c r="I35">
        <v>4335.84</v>
      </c>
      <c r="J35">
        <v>1</v>
      </c>
      <c r="K35" s="2">
        <v>3.9900000000000005E-2</v>
      </c>
    </row>
    <row r="36" spans="1:11">
      <c r="A36" t="s">
        <v>20</v>
      </c>
      <c r="B36" t="s">
        <v>36</v>
      </c>
      <c r="C36" s="1">
        <v>45323</v>
      </c>
      <c r="D36">
        <v>37</v>
      </c>
      <c r="E36">
        <v>17</v>
      </c>
      <c r="F36">
        <v>378.61</v>
      </c>
      <c r="G36">
        <v>10</v>
      </c>
      <c r="H36" s="2">
        <v>0.58823529411764708</v>
      </c>
      <c r="I36">
        <v>1295.07</v>
      </c>
      <c r="J36">
        <v>3</v>
      </c>
      <c r="K36" s="2">
        <v>5.6299999999999996E-2</v>
      </c>
    </row>
    <row r="37" spans="1:11">
      <c r="A37" t="s">
        <v>21</v>
      </c>
      <c r="B37" t="s">
        <v>36</v>
      </c>
      <c r="C37" s="1">
        <v>45323</v>
      </c>
      <c r="D37">
        <v>68</v>
      </c>
      <c r="E37">
        <v>16</v>
      </c>
      <c r="F37">
        <v>299.58999999999997</v>
      </c>
      <c r="G37">
        <v>9</v>
      </c>
      <c r="H37" s="2">
        <v>0.5625</v>
      </c>
      <c r="I37">
        <v>979.47</v>
      </c>
      <c r="J37">
        <v>2</v>
      </c>
      <c r="K37" s="2">
        <v>3.6900000000000002E-2</v>
      </c>
    </row>
    <row r="38" spans="1:11">
      <c r="A38" t="s">
        <v>22</v>
      </c>
      <c r="B38" t="s">
        <v>36</v>
      </c>
      <c r="C38" s="1">
        <v>45323</v>
      </c>
      <c r="D38">
        <v>20</v>
      </c>
      <c r="E38">
        <v>9</v>
      </c>
      <c r="F38">
        <v>202.4</v>
      </c>
      <c r="G38">
        <v>7</v>
      </c>
      <c r="H38" s="2">
        <v>0.77777777777777779</v>
      </c>
      <c r="I38">
        <v>732.99</v>
      </c>
      <c r="J38">
        <v>1</v>
      </c>
      <c r="K38" s="2">
        <v>7.9000000000000001E-2</v>
      </c>
    </row>
    <row r="39" spans="1:11">
      <c r="A39" t="s">
        <v>23</v>
      </c>
      <c r="B39" t="s">
        <v>36</v>
      </c>
      <c r="C39" s="1">
        <v>45323</v>
      </c>
      <c r="D39">
        <v>35</v>
      </c>
      <c r="E39">
        <v>6</v>
      </c>
      <c r="F39">
        <v>568.38</v>
      </c>
      <c r="G39">
        <v>6</v>
      </c>
      <c r="H39" s="2">
        <v>1</v>
      </c>
      <c r="I39">
        <v>3949.69</v>
      </c>
      <c r="J39">
        <v>1</v>
      </c>
      <c r="K39" s="2">
        <v>3.7499999999999999E-2</v>
      </c>
    </row>
    <row r="40" spans="1:11">
      <c r="A40" t="s">
        <v>24</v>
      </c>
      <c r="B40" t="s">
        <v>36</v>
      </c>
      <c r="C40" s="1">
        <v>45323</v>
      </c>
      <c r="D40">
        <v>68</v>
      </c>
      <c r="E40">
        <v>21</v>
      </c>
      <c r="F40">
        <v>553.08000000000004</v>
      </c>
      <c r="G40">
        <v>3</v>
      </c>
      <c r="H40" s="2">
        <v>0.14285714285714285</v>
      </c>
      <c r="I40">
        <v>360.7</v>
      </c>
      <c r="J40">
        <v>3</v>
      </c>
      <c r="K40" s="2">
        <v>3.3399999999999999E-2</v>
      </c>
    </row>
    <row r="41" spans="1:11">
      <c r="A41" t="s">
        <v>25</v>
      </c>
      <c r="B41" t="s">
        <v>36</v>
      </c>
      <c r="C41" s="1">
        <v>45323</v>
      </c>
      <c r="D41">
        <v>30</v>
      </c>
      <c r="E41">
        <v>8</v>
      </c>
      <c r="F41">
        <v>223.22</v>
      </c>
      <c r="G41">
        <v>2</v>
      </c>
      <c r="H41" s="2">
        <v>0.25</v>
      </c>
      <c r="I41">
        <v>3595.12</v>
      </c>
      <c r="J41">
        <v>2</v>
      </c>
      <c r="K41" s="2">
        <v>4.3400000000000001E-2</v>
      </c>
    </row>
    <row r="42" spans="1:11">
      <c r="A42" t="s">
        <v>26</v>
      </c>
      <c r="B42" t="s">
        <v>36</v>
      </c>
      <c r="C42" s="1">
        <v>45323</v>
      </c>
      <c r="D42">
        <v>69</v>
      </c>
      <c r="E42">
        <v>8</v>
      </c>
      <c r="F42">
        <v>199.93</v>
      </c>
      <c r="G42">
        <v>2</v>
      </c>
      <c r="H42" s="2">
        <v>0.25</v>
      </c>
      <c r="I42">
        <v>610.66</v>
      </c>
      <c r="J42">
        <v>1</v>
      </c>
      <c r="K42" s="2">
        <v>2.8199999999999999E-2</v>
      </c>
    </row>
    <row r="43" spans="1:11">
      <c r="A43" t="s">
        <v>27</v>
      </c>
      <c r="B43" t="s">
        <v>36</v>
      </c>
      <c r="C43" s="1">
        <v>45323</v>
      </c>
      <c r="D43">
        <v>92</v>
      </c>
      <c r="E43">
        <v>6</v>
      </c>
      <c r="F43">
        <v>180.46</v>
      </c>
      <c r="G43">
        <v>5</v>
      </c>
      <c r="H43" s="2">
        <v>0.83333333333333337</v>
      </c>
      <c r="I43">
        <v>1173.27</v>
      </c>
      <c r="J43">
        <v>3</v>
      </c>
      <c r="K43" s="2">
        <v>7.5300000000000006E-2</v>
      </c>
    </row>
    <row r="44" spans="1:11">
      <c r="A44" t="s">
        <v>28</v>
      </c>
      <c r="B44" t="s">
        <v>36</v>
      </c>
      <c r="C44" s="1">
        <v>45323</v>
      </c>
      <c r="D44">
        <v>92</v>
      </c>
      <c r="E44">
        <v>7</v>
      </c>
      <c r="F44">
        <v>80.12</v>
      </c>
      <c r="G44">
        <v>6</v>
      </c>
      <c r="H44" s="2">
        <v>0.8571428571428571</v>
      </c>
      <c r="I44">
        <v>3794.02</v>
      </c>
      <c r="J44">
        <v>2</v>
      </c>
      <c r="K44" s="2">
        <v>9.5000000000000001E-2</v>
      </c>
    </row>
    <row r="45" spans="1:11">
      <c r="A45" t="s">
        <v>29</v>
      </c>
      <c r="B45" t="s">
        <v>36</v>
      </c>
      <c r="C45" s="1">
        <v>45323</v>
      </c>
      <c r="D45">
        <v>21</v>
      </c>
      <c r="E45">
        <v>14</v>
      </c>
      <c r="F45">
        <v>563.79</v>
      </c>
      <c r="G45">
        <v>8</v>
      </c>
      <c r="H45" s="2">
        <v>0.5714285714285714</v>
      </c>
      <c r="I45">
        <v>3616.21</v>
      </c>
      <c r="J45">
        <v>1</v>
      </c>
      <c r="K45" s="2">
        <v>3.61E-2</v>
      </c>
    </row>
    <row r="46" spans="1:11">
      <c r="A46" t="s">
        <v>30</v>
      </c>
      <c r="B46" t="s">
        <v>36</v>
      </c>
      <c r="C46" s="1">
        <v>45323</v>
      </c>
      <c r="D46">
        <v>83</v>
      </c>
      <c r="E46">
        <v>20</v>
      </c>
      <c r="F46">
        <v>193.39</v>
      </c>
      <c r="G46">
        <v>5</v>
      </c>
      <c r="H46" s="2">
        <v>0.25</v>
      </c>
      <c r="I46">
        <v>402.53</v>
      </c>
      <c r="J46">
        <v>3</v>
      </c>
      <c r="K46" s="2">
        <v>0.1013</v>
      </c>
    </row>
    <row r="47" spans="1:11">
      <c r="A47" t="s">
        <v>31</v>
      </c>
      <c r="B47" t="s">
        <v>36</v>
      </c>
      <c r="C47" s="1">
        <v>45323</v>
      </c>
      <c r="D47">
        <v>57</v>
      </c>
      <c r="E47">
        <v>11</v>
      </c>
      <c r="F47">
        <v>454.77</v>
      </c>
      <c r="G47">
        <v>1</v>
      </c>
      <c r="H47" s="2">
        <v>9.0909090909090912E-2</v>
      </c>
      <c r="I47">
        <v>1152.4100000000001</v>
      </c>
      <c r="J47">
        <v>2</v>
      </c>
      <c r="K47" s="2">
        <v>1E-3</v>
      </c>
    </row>
    <row r="48" spans="1:11">
      <c r="A48" t="s">
        <v>32</v>
      </c>
      <c r="B48" t="s">
        <v>36</v>
      </c>
      <c r="C48" s="1">
        <v>45323</v>
      </c>
      <c r="D48">
        <v>22</v>
      </c>
      <c r="E48">
        <v>17</v>
      </c>
      <c r="F48">
        <v>291.97000000000003</v>
      </c>
      <c r="G48">
        <v>1</v>
      </c>
      <c r="H48" s="2">
        <v>5.8823529411764705E-2</v>
      </c>
      <c r="I48">
        <v>1703.6</v>
      </c>
      <c r="J48">
        <v>1</v>
      </c>
      <c r="K48" s="2">
        <v>5.21E-2</v>
      </c>
    </row>
    <row r="49" spans="1:11">
      <c r="A49" t="s">
        <v>33</v>
      </c>
      <c r="B49" t="s">
        <v>36</v>
      </c>
      <c r="C49" s="1">
        <v>45323</v>
      </c>
      <c r="D49">
        <v>78</v>
      </c>
      <c r="E49">
        <v>5</v>
      </c>
      <c r="F49">
        <v>553.86</v>
      </c>
      <c r="G49">
        <v>1</v>
      </c>
      <c r="H49" s="2">
        <v>0.2</v>
      </c>
      <c r="I49">
        <v>3503.57</v>
      </c>
      <c r="J49">
        <v>3</v>
      </c>
      <c r="K49" s="2">
        <v>3.1300000000000001E-2</v>
      </c>
    </row>
    <row r="50" spans="1:11">
      <c r="A50" t="s">
        <v>34</v>
      </c>
      <c r="B50" t="s">
        <v>36</v>
      </c>
      <c r="C50" s="1">
        <v>45323</v>
      </c>
      <c r="D50">
        <v>68</v>
      </c>
      <c r="E50">
        <v>7</v>
      </c>
      <c r="F50">
        <v>171.76</v>
      </c>
      <c r="G50">
        <v>7</v>
      </c>
      <c r="H50" s="2">
        <v>1</v>
      </c>
      <c r="I50">
        <v>548.36</v>
      </c>
      <c r="J50">
        <v>2</v>
      </c>
      <c r="K50" s="2">
        <v>8.2500000000000004E-2</v>
      </c>
    </row>
    <row r="51" spans="1:11">
      <c r="A51" t="s">
        <v>35</v>
      </c>
      <c r="B51" t="s">
        <v>36</v>
      </c>
      <c r="C51" s="1">
        <v>45323</v>
      </c>
      <c r="D51">
        <v>83</v>
      </c>
      <c r="E51">
        <v>16</v>
      </c>
      <c r="F51">
        <v>382.21</v>
      </c>
      <c r="G51">
        <v>1</v>
      </c>
      <c r="H51" s="2">
        <v>6.25E-2</v>
      </c>
      <c r="I51">
        <v>3017.43</v>
      </c>
      <c r="J51">
        <v>3</v>
      </c>
      <c r="K51" s="2">
        <v>2.4199999999999999E-2</v>
      </c>
    </row>
    <row r="52" spans="1:11">
      <c r="A52" t="s">
        <v>37</v>
      </c>
      <c r="B52" t="s">
        <v>36</v>
      </c>
      <c r="C52" s="1">
        <v>45323</v>
      </c>
      <c r="D52">
        <v>31</v>
      </c>
      <c r="E52">
        <v>11</v>
      </c>
      <c r="F52">
        <v>562.73</v>
      </c>
      <c r="G52">
        <v>4</v>
      </c>
      <c r="H52" s="2">
        <v>0.36363636363636365</v>
      </c>
      <c r="I52">
        <v>221.94</v>
      </c>
      <c r="J52">
        <v>2</v>
      </c>
      <c r="K52" s="2">
        <v>6.7400000000000002E-2</v>
      </c>
    </row>
    <row r="53" spans="1:11">
      <c r="A53" t="s">
        <v>38</v>
      </c>
      <c r="B53" t="s">
        <v>36</v>
      </c>
      <c r="C53" s="1">
        <v>45323</v>
      </c>
      <c r="D53">
        <v>34</v>
      </c>
      <c r="E53">
        <v>17</v>
      </c>
      <c r="F53">
        <v>380.37</v>
      </c>
      <c r="G53">
        <v>7</v>
      </c>
      <c r="H53" s="2">
        <v>0.41176470588235292</v>
      </c>
      <c r="I53">
        <v>4183.2700000000004</v>
      </c>
      <c r="J53">
        <v>1</v>
      </c>
      <c r="K53" s="2">
        <v>8.8699999999999987E-2</v>
      </c>
    </row>
    <row r="54" spans="1:11">
      <c r="A54" t="s">
        <v>11</v>
      </c>
      <c r="B54" t="s">
        <v>36</v>
      </c>
      <c r="C54" s="1">
        <v>45352</v>
      </c>
      <c r="D54">
        <v>55</v>
      </c>
      <c r="E54">
        <v>17</v>
      </c>
      <c r="F54">
        <v>315.62</v>
      </c>
      <c r="G54">
        <v>5</v>
      </c>
      <c r="H54" s="2">
        <v>0.29411764705882354</v>
      </c>
      <c r="I54">
        <v>3890.73</v>
      </c>
      <c r="J54">
        <v>3</v>
      </c>
      <c r="K54" s="2">
        <v>2.8799999999999999E-2</v>
      </c>
    </row>
    <row r="55" spans="1:11">
      <c r="A55" t="s">
        <v>13</v>
      </c>
      <c r="B55" t="s">
        <v>36</v>
      </c>
      <c r="C55" s="1">
        <v>45352</v>
      </c>
      <c r="D55">
        <v>91</v>
      </c>
      <c r="E55">
        <v>10</v>
      </c>
      <c r="F55">
        <v>361.58</v>
      </c>
      <c r="G55">
        <v>4</v>
      </c>
      <c r="H55" s="2">
        <v>0.4</v>
      </c>
      <c r="I55">
        <v>3674.37</v>
      </c>
      <c r="J55">
        <v>2</v>
      </c>
      <c r="K55" s="2">
        <v>4.0800000000000003E-2</v>
      </c>
    </row>
    <row r="56" spans="1:11">
      <c r="A56" t="s">
        <v>14</v>
      </c>
      <c r="B56" t="s">
        <v>36</v>
      </c>
      <c r="C56" s="1">
        <v>45352</v>
      </c>
      <c r="D56">
        <v>59</v>
      </c>
      <c r="E56">
        <v>13</v>
      </c>
      <c r="F56">
        <v>402.9</v>
      </c>
      <c r="G56">
        <v>2</v>
      </c>
      <c r="H56" s="2">
        <v>0.15384615384615385</v>
      </c>
      <c r="I56">
        <v>3357.27</v>
      </c>
      <c r="J56">
        <v>1</v>
      </c>
      <c r="K56" s="2">
        <v>4.2599999999999999E-2</v>
      </c>
    </row>
    <row r="57" spans="1:11">
      <c r="A57" t="s">
        <v>15</v>
      </c>
      <c r="B57" t="s">
        <v>36</v>
      </c>
      <c r="C57" s="1">
        <v>45352</v>
      </c>
      <c r="D57">
        <v>19</v>
      </c>
      <c r="E57">
        <v>6</v>
      </c>
      <c r="F57">
        <v>82.65</v>
      </c>
      <c r="G57">
        <v>3</v>
      </c>
      <c r="H57" s="2">
        <v>0.5</v>
      </c>
      <c r="I57">
        <v>1469.62</v>
      </c>
      <c r="J57">
        <v>3</v>
      </c>
      <c r="K57" s="2">
        <v>3.0699999999999998E-2</v>
      </c>
    </row>
    <row r="58" spans="1:11">
      <c r="A58" t="s">
        <v>16</v>
      </c>
      <c r="B58" t="s">
        <v>36</v>
      </c>
      <c r="C58" s="1">
        <v>45352</v>
      </c>
      <c r="D58">
        <v>77</v>
      </c>
      <c r="E58">
        <v>14</v>
      </c>
      <c r="F58">
        <v>494.43</v>
      </c>
      <c r="G58">
        <v>4</v>
      </c>
      <c r="H58" s="2">
        <v>0.2857142857142857</v>
      </c>
      <c r="I58">
        <v>963.35</v>
      </c>
      <c r="J58">
        <v>2</v>
      </c>
      <c r="K58" s="2">
        <v>3.6699999999999997E-2</v>
      </c>
    </row>
    <row r="59" spans="1:11">
      <c r="A59" t="s">
        <v>17</v>
      </c>
      <c r="B59" t="s">
        <v>36</v>
      </c>
      <c r="C59" s="1">
        <v>45352</v>
      </c>
      <c r="D59">
        <v>50</v>
      </c>
      <c r="E59">
        <v>8</v>
      </c>
      <c r="F59">
        <v>512.92999999999995</v>
      </c>
      <c r="G59">
        <v>3</v>
      </c>
      <c r="H59" s="2">
        <v>0.375</v>
      </c>
      <c r="I59">
        <v>3725.66</v>
      </c>
      <c r="J59">
        <v>1</v>
      </c>
      <c r="K59" s="2">
        <v>1.1599999999999999E-2</v>
      </c>
    </row>
    <row r="60" spans="1:11">
      <c r="A60" t="s">
        <v>18</v>
      </c>
      <c r="B60" t="s">
        <v>36</v>
      </c>
      <c r="C60" s="1">
        <v>45352</v>
      </c>
      <c r="D60">
        <v>88</v>
      </c>
      <c r="E60">
        <v>18</v>
      </c>
      <c r="F60">
        <v>291.04000000000002</v>
      </c>
      <c r="G60">
        <v>2</v>
      </c>
      <c r="H60" s="2">
        <v>0.1111111111111111</v>
      </c>
      <c r="I60">
        <v>2619.84</v>
      </c>
      <c r="J60">
        <v>3</v>
      </c>
      <c r="K60" s="2">
        <v>0.10550000000000001</v>
      </c>
    </row>
    <row r="61" spans="1:11">
      <c r="A61" t="s">
        <v>19</v>
      </c>
      <c r="B61" t="s">
        <v>36</v>
      </c>
      <c r="C61" s="1">
        <v>45352</v>
      </c>
      <c r="D61">
        <v>62</v>
      </c>
      <c r="E61">
        <v>9</v>
      </c>
      <c r="F61">
        <v>252.77</v>
      </c>
      <c r="G61">
        <v>7</v>
      </c>
      <c r="H61" s="2">
        <v>0.77777777777777779</v>
      </c>
      <c r="I61">
        <v>4641.6099999999997</v>
      </c>
      <c r="J61">
        <v>2</v>
      </c>
      <c r="K61" s="2">
        <v>4.0800000000000003E-2</v>
      </c>
    </row>
    <row r="62" spans="1:11">
      <c r="A62" t="s">
        <v>20</v>
      </c>
      <c r="B62" t="s">
        <v>36</v>
      </c>
      <c r="C62" s="1">
        <v>45352</v>
      </c>
      <c r="D62">
        <v>33</v>
      </c>
      <c r="E62">
        <v>18</v>
      </c>
      <c r="F62">
        <v>348.57</v>
      </c>
      <c r="G62">
        <v>8</v>
      </c>
      <c r="H62" s="2">
        <v>0.44444444444444442</v>
      </c>
      <c r="I62">
        <v>1169.6400000000001</v>
      </c>
      <c r="J62">
        <v>1</v>
      </c>
      <c r="K62" s="2">
        <v>5.4800000000000001E-2</v>
      </c>
    </row>
    <row r="63" spans="1:11">
      <c r="A63" t="s">
        <v>21</v>
      </c>
      <c r="B63" t="s">
        <v>36</v>
      </c>
      <c r="C63" s="1">
        <v>45352</v>
      </c>
      <c r="D63">
        <v>54</v>
      </c>
      <c r="E63">
        <v>15</v>
      </c>
      <c r="F63">
        <v>321.99</v>
      </c>
      <c r="G63">
        <v>8</v>
      </c>
      <c r="H63" s="2">
        <v>0.53333333333333333</v>
      </c>
      <c r="I63">
        <v>1080.0899999999999</v>
      </c>
      <c r="J63">
        <v>1</v>
      </c>
      <c r="K63" s="2">
        <v>3.5499999999999997E-2</v>
      </c>
    </row>
    <row r="64" spans="1:11">
      <c r="A64" t="s">
        <v>22</v>
      </c>
      <c r="B64" t="s">
        <v>36</v>
      </c>
      <c r="C64" s="1">
        <v>45352</v>
      </c>
      <c r="D64">
        <v>16</v>
      </c>
      <c r="E64">
        <v>9</v>
      </c>
      <c r="F64">
        <v>199.87</v>
      </c>
      <c r="G64">
        <v>9</v>
      </c>
      <c r="H64" s="2">
        <v>1</v>
      </c>
      <c r="I64">
        <v>818.64</v>
      </c>
      <c r="J64">
        <v>3</v>
      </c>
      <c r="K64" s="2">
        <v>7.46E-2</v>
      </c>
    </row>
    <row r="65" spans="1:11">
      <c r="A65" t="s">
        <v>23</v>
      </c>
      <c r="B65" t="s">
        <v>36</v>
      </c>
      <c r="C65" s="1">
        <v>45352</v>
      </c>
      <c r="D65">
        <v>30</v>
      </c>
      <c r="E65">
        <v>5</v>
      </c>
      <c r="F65">
        <v>565.19000000000005</v>
      </c>
      <c r="G65">
        <v>4</v>
      </c>
      <c r="H65" s="2">
        <v>0.8</v>
      </c>
      <c r="I65">
        <v>3621.51</v>
      </c>
      <c r="J65">
        <v>2</v>
      </c>
      <c r="K65" s="2">
        <v>4.3099999999999999E-2</v>
      </c>
    </row>
    <row r="66" spans="1:11">
      <c r="A66" t="s">
        <v>24</v>
      </c>
      <c r="B66" t="s">
        <v>36</v>
      </c>
      <c r="C66" s="1">
        <v>45352</v>
      </c>
      <c r="D66">
        <v>68</v>
      </c>
      <c r="E66">
        <v>19</v>
      </c>
      <c r="F66">
        <v>623.25</v>
      </c>
      <c r="G66">
        <v>3</v>
      </c>
      <c r="H66" s="2">
        <v>0.15789473684210525</v>
      </c>
      <c r="I66">
        <v>355.96</v>
      </c>
      <c r="J66">
        <v>1</v>
      </c>
      <c r="K66" s="2">
        <v>3.6299999999999999E-2</v>
      </c>
    </row>
    <row r="67" spans="1:11">
      <c r="A67" t="s">
        <v>25</v>
      </c>
      <c r="B67" t="s">
        <v>36</v>
      </c>
      <c r="C67" s="1">
        <v>45352</v>
      </c>
      <c r="D67">
        <v>31</v>
      </c>
      <c r="E67">
        <v>9</v>
      </c>
      <c r="F67">
        <v>209.18</v>
      </c>
      <c r="G67">
        <v>2</v>
      </c>
      <c r="H67" s="2">
        <v>0.22222222222222221</v>
      </c>
      <c r="I67">
        <v>4153.3100000000004</v>
      </c>
      <c r="J67">
        <v>3</v>
      </c>
      <c r="K67" s="2">
        <v>4.0399999999999998E-2</v>
      </c>
    </row>
    <row r="68" spans="1:11">
      <c r="A68" t="s">
        <v>26</v>
      </c>
      <c r="B68" t="s">
        <v>36</v>
      </c>
      <c r="C68" s="1">
        <v>45352</v>
      </c>
      <c r="D68">
        <v>61</v>
      </c>
      <c r="E68">
        <v>7</v>
      </c>
      <c r="F68">
        <v>190.5</v>
      </c>
      <c r="G68">
        <v>3</v>
      </c>
      <c r="H68" s="2">
        <v>0.42857142857142855</v>
      </c>
      <c r="I68">
        <v>661.2</v>
      </c>
      <c r="J68">
        <v>2</v>
      </c>
      <c r="K68" s="2">
        <v>2.7699999999999999E-2</v>
      </c>
    </row>
    <row r="69" spans="1:11">
      <c r="A69" t="s">
        <v>27</v>
      </c>
      <c r="B69" t="s">
        <v>36</v>
      </c>
      <c r="C69" s="1">
        <v>45352</v>
      </c>
      <c r="D69">
        <v>83</v>
      </c>
      <c r="E69">
        <v>5</v>
      </c>
      <c r="F69">
        <v>170.12</v>
      </c>
      <c r="G69">
        <v>3</v>
      </c>
      <c r="H69" s="2">
        <v>0.6</v>
      </c>
      <c r="I69">
        <v>1171.95</v>
      </c>
      <c r="J69">
        <v>1</v>
      </c>
      <c r="K69" s="2">
        <v>7.690000000000001E-2</v>
      </c>
    </row>
    <row r="70" spans="1:11">
      <c r="A70" t="s">
        <v>28</v>
      </c>
      <c r="B70" t="s">
        <v>36</v>
      </c>
      <c r="C70" s="1">
        <v>45352</v>
      </c>
      <c r="D70">
        <v>74</v>
      </c>
      <c r="E70">
        <v>7</v>
      </c>
      <c r="F70">
        <v>87.89</v>
      </c>
      <c r="G70">
        <v>7</v>
      </c>
      <c r="H70" s="2">
        <v>1</v>
      </c>
      <c r="I70">
        <v>3848.14</v>
      </c>
      <c r="J70">
        <v>3</v>
      </c>
      <c r="K70" s="2">
        <v>8.6699999999999999E-2</v>
      </c>
    </row>
    <row r="71" spans="1:11">
      <c r="A71" t="s">
        <v>29</v>
      </c>
      <c r="B71" t="s">
        <v>36</v>
      </c>
      <c r="C71" s="1">
        <v>45352</v>
      </c>
      <c r="D71">
        <v>21</v>
      </c>
      <c r="E71">
        <v>14</v>
      </c>
      <c r="F71">
        <v>498.82</v>
      </c>
      <c r="G71">
        <v>5</v>
      </c>
      <c r="H71" s="2">
        <v>0.35714285714285715</v>
      </c>
      <c r="I71">
        <v>4039.26</v>
      </c>
      <c r="J71">
        <v>2</v>
      </c>
      <c r="K71" s="2">
        <v>3.4000000000000002E-2</v>
      </c>
    </row>
    <row r="72" spans="1:11">
      <c r="A72" t="s">
        <v>30</v>
      </c>
      <c r="B72" t="s">
        <v>39</v>
      </c>
      <c r="C72" s="1">
        <v>45352</v>
      </c>
      <c r="D72">
        <v>84</v>
      </c>
      <c r="E72">
        <v>15</v>
      </c>
      <c r="F72">
        <v>163.21</v>
      </c>
      <c r="G72">
        <v>5</v>
      </c>
      <c r="H72" s="2">
        <v>0.33333333333333331</v>
      </c>
      <c r="I72">
        <v>411.36</v>
      </c>
      <c r="J72">
        <v>1</v>
      </c>
      <c r="K72" s="2">
        <v>0.1014</v>
      </c>
    </row>
    <row r="73" spans="1:11">
      <c r="A73" t="s">
        <v>31</v>
      </c>
      <c r="B73" t="s">
        <v>39</v>
      </c>
      <c r="C73" s="1">
        <v>45352</v>
      </c>
      <c r="D73">
        <v>64</v>
      </c>
      <c r="E73">
        <v>13</v>
      </c>
      <c r="F73">
        <v>496.4</v>
      </c>
      <c r="G73">
        <v>0</v>
      </c>
      <c r="H73" s="2">
        <v>0</v>
      </c>
      <c r="I73">
        <v>1306.3800000000001</v>
      </c>
      <c r="J73">
        <v>3</v>
      </c>
      <c r="K73" s="2">
        <v>1.1000000000000001E-3</v>
      </c>
    </row>
    <row r="74" spans="1:11">
      <c r="A74" t="s">
        <v>32</v>
      </c>
      <c r="B74" t="s">
        <v>39</v>
      </c>
      <c r="C74" s="1">
        <v>45352</v>
      </c>
      <c r="D74">
        <v>21</v>
      </c>
      <c r="E74">
        <v>13</v>
      </c>
      <c r="F74">
        <v>315.41000000000003</v>
      </c>
      <c r="G74">
        <v>1</v>
      </c>
      <c r="H74" s="2">
        <v>7.6923076923076927E-2</v>
      </c>
      <c r="I74">
        <v>1692.59</v>
      </c>
      <c r="J74">
        <v>2</v>
      </c>
      <c r="K74" s="2">
        <v>5.0999999999999997E-2</v>
      </c>
    </row>
    <row r="75" spans="1:11">
      <c r="A75" t="s">
        <v>33</v>
      </c>
      <c r="B75" t="s">
        <v>39</v>
      </c>
      <c r="C75" s="1">
        <v>45352</v>
      </c>
      <c r="D75">
        <v>110</v>
      </c>
      <c r="E75">
        <v>6</v>
      </c>
      <c r="F75">
        <v>535.37</v>
      </c>
      <c r="G75">
        <v>2</v>
      </c>
      <c r="H75" s="2">
        <v>0.33333333333333331</v>
      </c>
      <c r="I75">
        <v>3113.29</v>
      </c>
      <c r="J75">
        <v>1</v>
      </c>
      <c r="K75" s="2">
        <v>3.2099999999999997E-2</v>
      </c>
    </row>
    <row r="76" spans="1:11">
      <c r="A76" t="s">
        <v>34</v>
      </c>
      <c r="B76" t="s">
        <v>39</v>
      </c>
      <c r="C76" s="1">
        <v>45352</v>
      </c>
      <c r="D76">
        <v>62</v>
      </c>
      <c r="E76">
        <v>8</v>
      </c>
      <c r="F76">
        <v>198.84</v>
      </c>
      <c r="G76">
        <v>8</v>
      </c>
      <c r="H76" s="2">
        <v>1</v>
      </c>
      <c r="I76">
        <v>534.58000000000004</v>
      </c>
      <c r="J76">
        <v>3</v>
      </c>
      <c r="K76" s="2">
        <v>8.8000000000000009E-2</v>
      </c>
    </row>
    <row r="77" spans="1:11">
      <c r="A77" t="s">
        <v>35</v>
      </c>
      <c r="B77" t="s">
        <v>39</v>
      </c>
      <c r="C77" s="1">
        <v>45352</v>
      </c>
      <c r="D77">
        <v>108</v>
      </c>
      <c r="E77">
        <v>14</v>
      </c>
      <c r="F77">
        <v>416.78</v>
      </c>
      <c r="G77">
        <v>1</v>
      </c>
      <c r="H77" s="2">
        <v>7.1428571428571425E-2</v>
      </c>
      <c r="I77">
        <v>2989.69</v>
      </c>
      <c r="J77">
        <v>2</v>
      </c>
      <c r="K77" s="2">
        <v>2.5499999999999998E-2</v>
      </c>
    </row>
    <row r="78" spans="1:11">
      <c r="A78" t="s">
        <v>37</v>
      </c>
      <c r="B78" t="s">
        <v>39</v>
      </c>
      <c r="C78" s="1">
        <v>45352</v>
      </c>
      <c r="D78">
        <v>28</v>
      </c>
      <c r="E78">
        <v>12</v>
      </c>
      <c r="F78">
        <v>533.85</v>
      </c>
      <c r="G78">
        <v>5</v>
      </c>
      <c r="H78" s="2">
        <v>0.41666666666666669</v>
      </c>
      <c r="I78">
        <v>224.87</v>
      </c>
      <c r="J78">
        <v>1</v>
      </c>
      <c r="K78" s="2">
        <v>6.480000000000001E-2</v>
      </c>
    </row>
    <row r="79" spans="1:11">
      <c r="A79" t="s">
        <v>38</v>
      </c>
      <c r="B79" t="s">
        <v>39</v>
      </c>
      <c r="C79" s="1">
        <v>45352</v>
      </c>
      <c r="D79">
        <v>39</v>
      </c>
      <c r="E79">
        <v>16</v>
      </c>
      <c r="F79">
        <v>312.8</v>
      </c>
      <c r="G79">
        <v>8</v>
      </c>
      <c r="H79" s="2">
        <v>0.5</v>
      </c>
      <c r="I79">
        <v>4592.09</v>
      </c>
      <c r="J79">
        <v>3</v>
      </c>
      <c r="K79" s="2">
        <v>8.5500000000000007E-2</v>
      </c>
    </row>
    <row r="80" spans="1:11">
      <c r="A80" t="s">
        <v>11</v>
      </c>
      <c r="B80" t="s">
        <v>39</v>
      </c>
      <c r="C80" s="1">
        <v>45383</v>
      </c>
      <c r="D80">
        <v>69</v>
      </c>
      <c r="E80">
        <v>17</v>
      </c>
      <c r="F80">
        <v>342.81</v>
      </c>
      <c r="G80">
        <v>6</v>
      </c>
      <c r="H80" s="2">
        <v>0.35294117647058826</v>
      </c>
      <c r="I80">
        <v>3728.2</v>
      </c>
      <c r="J80">
        <v>2</v>
      </c>
      <c r="K80" s="2">
        <v>2.9600000000000001E-2</v>
      </c>
    </row>
    <row r="81" spans="1:11">
      <c r="A81" t="s">
        <v>13</v>
      </c>
      <c r="B81" t="s">
        <v>39</v>
      </c>
      <c r="C81" s="1">
        <v>45383</v>
      </c>
      <c r="D81">
        <v>83</v>
      </c>
      <c r="E81">
        <v>11</v>
      </c>
      <c r="F81">
        <v>365.12</v>
      </c>
      <c r="G81">
        <v>5</v>
      </c>
      <c r="H81" s="2">
        <v>0.45454545454545453</v>
      </c>
      <c r="I81">
        <v>3682.69</v>
      </c>
      <c r="J81">
        <v>1</v>
      </c>
      <c r="K81" s="2">
        <v>3.8199999999999998E-2</v>
      </c>
    </row>
    <row r="82" spans="1:11">
      <c r="A82" t="s">
        <v>14</v>
      </c>
      <c r="B82" t="s">
        <v>39</v>
      </c>
      <c r="C82" s="1">
        <v>45383</v>
      </c>
      <c r="D82">
        <v>41</v>
      </c>
      <c r="E82">
        <v>14</v>
      </c>
      <c r="F82">
        <v>416.88</v>
      </c>
      <c r="G82">
        <v>2</v>
      </c>
      <c r="H82" s="2">
        <v>0.14285714285714285</v>
      </c>
      <c r="I82">
        <v>3638.83</v>
      </c>
      <c r="J82">
        <v>3</v>
      </c>
      <c r="K82" s="2">
        <v>4.41E-2</v>
      </c>
    </row>
    <row r="83" spans="1:11">
      <c r="A83" t="s">
        <v>15</v>
      </c>
      <c r="B83" t="s">
        <v>39</v>
      </c>
      <c r="C83" s="1">
        <v>45383</v>
      </c>
      <c r="D83">
        <v>17</v>
      </c>
      <c r="E83">
        <v>7</v>
      </c>
      <c r="F83">
        <v>81.14</v>
      </c>
      <c r="G83">
        <v>3</v>
      </c>
      <c r="H83" s="2">
        <v>0.42857142857142855</v>
      </c>
      <c r="I83">
        <v>1419.04</v>
      </c>
      <c r="J83">
        <v>2</v>
      </c>
      <c r="K83" s="2">
        <v>2.9399999999999999E-2</v>
      </c>
    </row>
    <row r="84" spans="1:11">
      <c r="A84" t="s">
        <v>16</v>
      </c>
      <c r="B84" t="s">
        <v>39</v>
      </c>
      <c r="C84" s="1">
        <v>45383</v>
      </c>
      <c r="D84">
        <v>76</v>
      </c>
      <c r="E84">
        <v>16</v>
      </c>
      <c r="F84">
        <v>449.04</v>
      </c>
      <c r="G84">
        <v>4</v>
      </c>
      <c r="H84" s="2">
        <v>0.25</v>
      </c>
      <c r="I84">
        <v>1019.97</v>
      </c>
      <c r="J84">
        <v>1</v>
      </c>
      <c r="K84" s="2">
        <v>3.8100000000000002E-2</v>
      </c>
    </row>
    <row r="85" spans="1:11">
      <c r="A85" t="s">
        <v>17</v>
      </c>
      <c r="B85" t="s">
        <v>39</v>
      </c>
      <c r="C85" s="1">
        <v>45383</v>
      </c>
      <c r="D85">
        <v>72</v>
      </c>
      <c r="E85">
        <v>6</v>
      </c>
      <c r="F85">
        <v>508.55</v>
      </c>
      <c r="G85">
        <v>3</v>
      </c>
      <c r="H85" s="2">
        <v>0.5</v>
      </c>
      <c r="I85">
        <v>3633.75</v>
      </c>
      <c r="J85">
        <v>3</v>
      </c>
      <c r="K85" s="2">
        <v>1.1399999999999999E-2</v>
      </c>
    </row>
    <row r="86" spans="1:11">
      <c r="A86" t="s">
        <v>18</v>
      </c>
      <c r="B86" t="s">
        <v>39</v>
      </c>
      <c r="C86" s="1">
        <v>45383</v>
      </c>
      <c r="D86">
        <v>72</v>
      </c>
      <c r="E86">
        <v>18</v>
      </c>
      <c r="F86">
        <v>299.08999999999997</v>
      </c>
      <c r="G86">
        <v>2</v>
      </c>
      <c r="H86" s="2">
        <v>0.1111111111111111</v>
      </c>
      <c r="I86">
        <v>2378.29</v>
      </c>
      <c r="J86">
        <v>2</v>
      </c>
      <c r="K86" s="2">
        <v>0.1052</v>
      </c>
    </row>
    <row r="87" spans="1:11">
      <c r="A87" t="s">
        <v>19</v>
      </c>
      <c r="B87" t="s">
        <v>39</v>
      </c>
      <c r="C87" s="1">
        <v>45383</v>
      </c>
      <c r="D87">
        <v>44</v>
      </c>
      <c r="E87">
        <v>6</v>
      </c>
      <c r="F87">
        <v>246.21</v>
      </c>
      <c r="G87">
        <v>5</v>
      </c>
      <c r="H87" s="2">
        <v>0.83333333333333337</v>
      </c>
      <c r="I87">
        <v>4155.8</v>
      </c>
      <c r="J87">
        <v>1</v>
      </c>
      <c r="K87" s="2">
        <v>4.3299999999999998E-2</v>
      </c>
    </row>
    <row r="88" spans="1:11">
      <c r="A88" t="s">
        <v>20</v>
      </c>
      <c r="B88" t="s">
        <v>39</v>
      </c>
      <c r="C88" s="1">
        <v>45383</v>
      </c>
      <c r="D88">
        <v>29</v>
      </c>
      <c r="E88">
        <v>16</v>
      </c>
      <c r="F88">
        <v>412.07</v>
      </c>
      <c r="G88">
        <v>10</v>
      </c>
      <c r="H88" s="2">
        <v>0.625</v>
      </c>
      <c r="I88">
        <v>1075.94</v>
      </c>
      <c r="J88">
        <v>1</v>
      </c>
      <c r="K88" s="2">
        <v>6.2400000000000004E-2</v>
      </c>
    </row>
    <row r="89" spans="1:11">
      <c r="A89" t="s">
        <v>21</v>
      </c>
      <c r="B89" t="s">
        <v>39</v>
      </c>
      <c r="C89" s="1">
        <v>45383</v>
      </c>
      <c r="D89">
        <v>64</v>
      </c>
      <c r="E89">
        <v>13</v>
      </c>
      <c r="F89">
        <v>317.58</v>
      </c>
      <c r="G89">
        <v>8</v>
      </c>
      <c r="H89" s="2">
        <v>0.61538461538461542</v>
      </c>
      <c r="I89">
        <v>1088.22</v>
      </c>
      <c r="J89">
        <v>3</v>
      </c>
      <c r="K89" s="2">
        <v>3.49E-2</v>
      </c>
    </row>
    <row r="90" spans="1:11">
      <c r="A90" t="s">
        <v>22</v>
      </c>
      <c r="B90" t="s">
        <v>39</v>
      </c>
      <c r="C90" s="1">
        <v>45383</v>
      </c>
      <c r="D90">
        <v>16</v>
      </c>
      <c r="E90">
        <v>7</v>
      </c>
      <c r="F90">
        <v>181.58</v>
      </c>
      <c r="G90">
        <v>6</v>
      </c>
      <c r="H90" s="2">
        <v>0.8571428571428571</v>
      </c>
      <c r="I90">
        <v>868.4</v>
      </c>
      <c r="J90">
        <v>2</v>
      </c>
      <c r="K90" s="2">
        <v>8.4100000000000008E-2</v>
      </c>
    </row>
    <row r="91" spans="1:11">
      <c r="A91" t="s">
        <v>23</v>
      </c>
      <c r="B91" t="s">
        <v>39</v>
      </c>
      <c r="C91" s="1">
        <v>45383</v>
      </c>
      <c r="D91">
        <v>37</v>
      </c>
      <c r="E91">
        <v>7</v>
      </c>
      <c r="F91">
        <v>470.85</v>
      </c>
      <c r="G91">
        <v>7</v>
      </c>
      <c r="H91" s="2">
        <v>1</v>
      </c>
      <c r="I91">
        <v>3483.6</v>
      </c>
      <c r="J91">
        <v>1</v>
      </c>
      <c r="K91" s="2">
        <v>4.2599999999999999E-2</v>
      </c>
    </row>
    <row r="92" spans="1:11">
      <c r="A92" t="s">
        <v>24</v>
      </c>
      <c r="B92" t="s">
        <v>39</v>
      </c>
      <c r="C92" s="1">
        <v>45383</v>
      </c>
      <c r="D92">
        <v>81</v>
      </c>
      <c r="E92">
        <v>16</v>
      </c>
      <c r="F92">
        <v>584.29999999999995</v>
      </c>
      <c r="G92">
        <v>3</v>
      </c>
      <c r="H92" s="2">
        <v>0.1875</v>
      </c>
      <c r="I92">
        <v>377.45</v>
      </c>
      <c r="J92">
        <v>3</v>
      </c>
      <c r="K92" s="2">
        <v>3.32E-2</v>
      </c>
    </row>
    <row r="93" spans="1:11">
      <c r="A93" t="s">
        <v>25</v>
      </c>
      <c r="B93" t="s">
        <v>39</v>
      </c>
      <c r="C93" s="1">
        <v>45383</v>
      </c>
      <c r="D93">
        <v>26</v>
      </c>
      <c r="E93">
        <v>6</v>
      </c>
      <c r="F93">
        <v>231.59</v>
      </c>
      <c r="G93">
        <v>2</v>
      </c>
      <c r="H93" s="2">
        <v>0.33333333333333331</v>
      </c>
      <c r="I93">
        <v>3988.15</v>
      </c>
      <c r="J93">
        <v>2</v>
      </c>
      <c r="K93" s="2">
        <v>3.8399999999999997E-2</v>
      </c>
    </row>
    <row r="94" spans="1:11">
      <c r="A94" t="s">
        <v>26</v>
      </c>
      <c r="B94" t="s">
        <v>40</v>
      </c>
      <c r="C94" s="1">
        <v>45383</v>
      </c>
      <c r="D94">
        <v>69</v>
      </c>
      <c r="E94">
        <v>9</v>
      </c>
      <c r="F94">
        <v>221.01</v>
      </c>
      <c r="G94">
        <v>3</v>
      </c>
      <c r="H94" s="2">
        <v>0.33333333333333331</v>
      </c>
      <c r="I94">
        <v>643.44000000000005</v>
      </c>
      <c r="J94">
        <v>1</v>
      </c>
      <c r="K94" s="2">
        <v>3.2000000000000001E-2</v>
      </c>
    </row>
    <row r="95" spans="1:11">
      <c r="A95" t="s">
        <v>27</v>
      </c>
      <c r="B95" t="s">
        <v>40</v>
      </c>
      <c r="C95" s="1">
        <v>45383</v>
      </c>
      <c r="D95">
        <v>103</v>
      </c>
      <c r="E95">
        <v>6</v>
      </c>
      <c r="F95">
        <v>165.74</v>
      </c>
      <c r="G95">
        <v>6</v>
      </c>
      <c r="H95" s="2">
        <v>1</v>
      </c>
      <c r="I95">
        <v>1169.3800000000001</v>
      </c>
      <c r="J95">
        <v>3</v>
      </c>
      <c r="K95" s="2">
        <v>7.7699999999999991E-2</v>
      </c>
    </row>
    <row r="96" spans="1:11">
      <c r="A96" t="s">
        <v>28</v>
      </c>
      <c r="B96" t="s">
        <v>40</v>
      </c>
      <c r="C96" s="1">
        <v>45383</v>
      </c>
      <c r="D96">
        <v>100</v>
      </c>
      <c r="E96">
        <v>7</v>
      </c>
      <c r="F96">
        <v>82.62</v>
      </c>
      <c r="G96">
        <v>6</v>
      </c>
      <c r="H96" s="2">
        <v>0.8571428571428571</v>
      </c>
      <c r="I96">
        <v>4085.91</v>
      </c>
      <c r="J96">
        <v>2</v>
      </c>
      <c r="K96" s="2">
        <v>9.0500000000000011E-2</v>
      </c>
    </row>
    <row r="97" spans="1:11">
      <c r="A97" t="s">
        <v>29</v>
      </c>
      <c r="B97" t="s">
        <v>40</v>
      </c>
      <c r="C97" s="1">
        <v>45383</v>
      </c>
      <c r="D97">
        <v>26</v>
      </c>
      <c r="E97">
        <v>17</v>
      </c>
      <c r="F97">
        <v>526.34</v>
      </c>
      <c r="G97">
        <v>6</v>
      </c>
      <c r="H97" s="2">
        <v>0.35294117647058826</v>
      </c>
      <c r="I97">
        <v>3360.11</v>
      </c>
      <c r="J97">
        <v>1</v>
      </c>
      <c r="K97" s="2">
        <v>3.0600000000000002E-2</v>
      </c>
    </row>
    <row r="98" spans="1:11">
      <c r="A98" t="s">
        <v>30</v>
      </c>
      <c r="B98" t="s">
        <v>40</v>
      </c>
      <c r="C98" s="1">
        <v>45383</v>
      </c>
      <c r="D98">
        <v>104</v>
      </c>
      <c r="E98">
        <v>22</v>
      </c>
      <c r="F98">
        <v>190.87</v>
      </c>
      <c r="G98">
        <v>4</v>
      </c>
      <c r="H98" s="2">
        <v>0.18181818181818182</v>
      </c>
      <c r="I98">
        <v>433.41</v>
      </c>
      <c r="J98">
        <v>3</v>
      </c>
      <c r="K98" s="2">
        <v>9.3599999999999989E-2</v>
      </c>
    </row>
    <row r="99" spans="1:11">
      <c r="A99" t="s">
        <v>31</v>
      </c>
      <c r="B99" t="s">
        <v>40</v>
      </c>
      <c r="C99" s="1">
        <v>45383</v>
      </c>
      <c r="D99">
        <v>63</v>
      </c>
      <c r="E99">
        <v>11</v>
      </c>
      <c r="F99">
        <v>554.51</v>
      </c>
      <c r="G99">
        <v>1</v>
      </c>
      <c r="H99" s="2">
        <v>9.0909090909090912E-2</v>
      </c>
      <c r="I99">
        <v>1138.51</v>
      </c>
      <c r="J99">
        <v>2</v>
      </c>
      <c r="K99" s="2">
        <v>1E-3</v>
      </c>
    </row>
    <row r="100" spans="1:11">
      <c r="A100" t="s">
        <v>32</v>
      </c>
      <c r="B100" t="s">
        <v>40</v>
      </c>
      <c r="C100" s="1">
        <v>45383</v>
      </c>
      <c r="D100">
        <v>22</v>
      </c>
      <c r="E100">
        <v>13</v>
      </c>
      <c r="F100">
        <v>302.49</v>
      </c>
      <c r="G100">
        <v>2</v>
      </c>
      <c r="H100" s="2">
        <v>0.15384615384615385</v>
      </c>
      <c r="I100">
        <v>1591.45</v>
      </c>
      <c r="J100">
        <v>3</v>
      </c>
      <c r="K100" s="2">
        <v>4.9599999999999998E-2</v>
      </c>
    </row>
    <row r="101" spans="1:11">
      <c r="A101" t="s">
        <v>33</v>
      </c>
      <c r="B101" t="s">
        <v>40</v>
      </c>
      <c r="C101" s="1">
        <v>45383</v>
      </c>
      <c r="D101">
        <v>91</v>
      </c>
      <c r="E101">
        <v>5</v>
      </c>
      <c r="F101">
        <v>605.11</v>
      </c>
      <c r="G101">
        <v>2</v>
      </c>
      <c r="H101" s="2">
        <v>0.4</v>
      </c>
      <c r="I101">
        <v>3499.88</v>
      </c>
      <c r="J101">
        <v>2</v>
      </c>
      <c r="K101" s="2">
        <v>3.0200000000000001E-2</v>
      </c>
    </row>
    <row r="102" spans="1:11">
      <c r="A102" t="s">
        <v>34</v>
      </c>
      <c r="B102" t="s">
        <v>40</v>
      </c>
      <c r="C102" s="1">
        <v>45383</v>
      </c>
      <c r="D102">
        <v>77</v>
      </c>
      <c r="E102">
        <v>8</v>
      </c>
      <c r="F102">
        <v>173.88</v>
      </c>
      <c r="G102">
        <v>6</v>
      </c>
      <c r="H102" s="2">
        <v>0.75</v>
      </c>
      <c r="I102">
        <v>462.44</v>
      </c>
      <c r="J102">
        <v>1</v>
      </c>
      <c r="K102" s="2">
        <v>7.9899999999999999E-2</v>
      </c>
    </row>
    <row r="103" spans="1:11">
      <c r="A103" t="s">
        <v>35</v>
      </c>
      <c r="B103" t="s">
        <v>40</v>
      </c>
      <c r="C103" s="1">
        <v>45383</v>
      </c>
      <c r="D103">
        <v>90</v>
      </c>
      <c r="E103">
        <v>17</v>
      </c>
      <c r="F103">
        <v>366.84</v>
      </c>
      <c r="G103">
        <v>0</v>
      </c>
      <c r="H103" s="2">
        <v>0</v>
      </c>
      <c r="I103">
        <v>3153.56</v>
      </c>
      <c r="J103">
        <v>3</v>
      </c>
      <c r="K103" s="2">
        <v>2.4500000000000001E-2</v>
      </c>
    </row>
    <row r="104" spans="1:11">
      <c r="A104" t="s">
        <v>37</v>
      </c>
      <c r="B104" t="s">
        <v>40</v>
      </c>
      <c r="C104" s="1">
        <v>45383</v>
      </c>
      <c r="D104">
        <v>33</v>
      </c>
      <c r="E104">
        <v>9</v>
      </c>
      <c r="F104">
        <v>578.41999999999996</v>
      </c>
      <c r="G104">
        <v>4</v>
      </c>
      <c r="H104" s="2">
        <v>0.44444444444444442</v>
      </c>
      <c r="I104">
        <v>229.72</v>
      </c>
      <c r="J104">
        <v>2</v>
      </c>
      <c r="K104" s="2">
        <v>7.46E-2</v>
      </c>
    </row>
    <row r="105" spans="1:11">
      <c r="A105" t="s">
        <v>38</v>
      </c>
      <c r="B105" t="s">
        <v>40</v>
      </c>
      <c r="C105" s="1">
        <v>45383</v>
      </c>
      <c r="D105">
        <v>42</v>
      </c>
      <c r="E105">
        <v>14</v>
      </c>
      <c r="F105">
        <v>321.29000000000002</v>
      </c>
      <c r="G105">
        <v>7</v>
      </c>
      <c r="H105" s="2">
        <v>0.5</v>
      </c>
      <c r="I105">
        <v>4298.2700000000004</v>
      </c>
      <c r="J105">
        <v>1</v>
      </c>
      <c r="K105" s="2">
        <v>7.4499999999999997E-2</v>
      </c>
    </row>
    <row r="106" spans="1:11">
      <c r="A106" t="s">
        <v>11</v>
      </c>
      <c r="B106" t="s">
        <v>40</v>
      </c>
      <c r="C106" s="1">
        <v>45413</v>
      </c>
      <c r="D106">
        <v>69</v>
      </c>
      <c r="E106">
        <v>16</v>
      </c>
      <c r="F106">
        <v>299.22000000000003</v>
      </c>
      <c r="G106">
        <v>6</v>
      </c>
      <c r="H106" s="2">
        <v>0.375</v>
      </c>
      <c r="I106">
        <v>3716.14</v>
      </c>
      <c r="J106">
        <v>3</v>
      </c>
      <c r="K106" s="2">
        <v>2.63E-2</v>
      </c>
    </row>
    <row r="107" spans="1:11">
      <c r="A107" t="s">
        <v>13</v>
      </c>
      <c r="B107" t="s">
        <v>40</v>
      </c>
      <c r="C107" s="1">
        <v>45413</v>
      </c>
      <c r="D107">
        <v>68</v>
      </c>
      <c r="E107">
        <v>11</v>
      </c>
      <c r="F107">
        <v>345.62</v>
      </c>
      <c r="G107">
        <v>4</v>
      </c>
      <c r="H107" s="2">
        <v>0.36363636363636365</v>
      </c>
      <c r="I107">
        <v>3558.13</v>
      </c>
      <c r="J107">
        <v>2</v>
      </c>
      <c r="K107" s="2">
        <v>4.0800000000000003E-2</v>
      </c>
    </row>
    <row r="108" spans="1:11">
      <c r="A108" t="s">
        <v>14</v>
      </c>
      <c r="B108" t="s">
        <v>40</v>
      </c>
      <c r="C108" s="1">
        <v>45413</v>
      </c>
      <c r="D108">
        <v>45</v>
      </c>
      <c r="E108">
        <v>17</v>
      </c>
      <c r="F108">
        <v>416.96</v>
      </c>
      <c r="G108">
        <v>3</v>
      </c>
      <c r="H108" s="2">
        <v>0.17647058823529413</v>
      </c>
      <c r="I108">
        <v>3327.07</v>
      </c>
      <c r="J108">
        <v>1</v>
      </c>
      <c r="K108" s="2">
        <v>4.0999999999999995E-2</v>
      </c>
    </row>
    <row r="109" spans="1:11">
      <c r="A109" t="s">
        <v>15</v>
      </c>
      <c r="B109" t="s">
        <v>40</v>
      </c>
      <c r="C109" s="1">
        <v>45413</v>
      </c>
      <c r="D109">
        <v>17</v>
      </c>
      <c r="E109">
        <v>8</v>
      </c>
      <c r="F109">
        <v>72.05</v>
      </c>
      <c r="G109">
        <v>3</v>
      </c>
      <c r="H109" s="2">
        <v>0.375</v>
      </c>
      <c r="I109">
        <v>1672.82</v>
      </c>
      <c r="J109">
        <v>3</v>
      </c>
      <c r="K109" s="2">
        <v>3.0299999999999997E-2</v>
      </c>
    </row>
    <row r="110" spans="1:11">
      <c r="A110" t="s">
        <v>16</v>
      </c>
      <c r="B110" t="s">
        <v>40</v>
      </c>
      <c r="C110" s="1">
        <v>45413</v>
      </c>
      <c r="D110">
        <v>85</v>
      </c>
      <c r="E110">
        <v>13</v>
      </c>
      <c r="F110">
        <v>475.61</v>
      </c>
      <c r="G110">
        <v>5</v>
      </c>
      <c r="H110" s="2">
        <v>0.38461538461538464</v>
      </c>
      <c r="I110">
        <v>939.32</v>
      </c>
      <c r="J110">
        <v>2</v>
      </c>
      <c r="K110" s="2">
        <v>3.6400000000000002E-2</v>
      </c>
    </row>
    <row r="111" spans="1:11">
      <c r="A111" t="s">
        <v>17</v>
      </c>
      <c r="B111" t="s">
        <v>40</v>
      </c>
      <c r="C111" s="1">
        <v>45413</v>
      </c>
      <c r="D111">
        <v>49</v>
      </c>
      <c r="E111">
        <v>7</v>
      </c>
      <c r="F111">
        <v>469.53</v>
      </c>
      <c r="G111">
        <v>3</v>
      </c>
      <c r="H111" s="2">
        <v>0.42857142857142855</v>
      </c>
      <c r="I111">
        <v>3623.32</v>
      </c>
      <c r="J111">
        <v>1</v>
      </c>
      <c r="K111" s="2">
        <v>1.21E-2</v>
      </c>
    </row>
    <row r="112" spans="1:11">
      <c r="A112" t="s">
        <v>18</v>
      </c>
      <c r="B112" t="s">
        <v>40</v>
      </c>
      <c r="C112" s="1">
        <v>45413</v>
      </c>
      <c r="D112">
        <v>66</v>
      </c>
      <c r="E112">
        <v>15</v>
      </c>
      <c r="F112">
        <v>333.1</v>
      </c>
      <c r="G112">
        <v>2</v>
      </c>
      <c r="H112" s="2">
        <v>0.13333333333333333</v>
      </c>
      <c r="I112">
        <v>2631.58</v>
      </c>
      <c r="J112">
        <v>1</v>
      </c>
      <c r="K112" s="2">
        <v>0.10249999999999999</v>
      </c>
    </row>
    <row r="113" spans="1:11">
      <c r="A113" t="s">
        <v>19</v>
      </c>
      <c r="B113" t="s">
        <v>40</v>
      </c>
      <c r="C113" s="1">
        <v>45413</v>
      </c>
      <c r="D113">
        <v>63</v>
      </c>
      <c r="E113">
        <v>9</v>
      </c>
      <c r="F113">
        <v>258.11</v>
      </c>
      <c r="G113">
        <v>7</v>
      </c>
      <c r="H113" s="2">
        <v>0.77777777777777779</v>
      </c>
      <c r="I113">
        <v>4064.36</v>
      </c>
      <c r="J113">
        <v>3</v>
      </c>
      <c r="K113" s="2">
        <v>4.1599999999999998E-2</v>
      </c>
    </row>
    <row r="114" spans="1:11">
      <c r="A114" t="s">
        <v>20</v>
      </c>
      <c r="B114" t="s">
        <v>40</v>
      </c>
      <c r="C114" s="1">
        <v>45413</v>
      </c>
      <c r="D114">
        <v>31</v>
      </c>
      <c r="E114">
        <v>20</v>
      </c>
      <c r="F114">
        <v>400.8</v>
      </c>
      <c r="G114">
        <v>8</v>
      </c>
      <c r="H114" s="2">
        <v>0.4</v>
      </c>
      <c r="I114">
        <v>1294.3599999999999</v>
      </c>
      <c r="J114">
        <v>2</v>
      </c>
      <c r="K114" s="2">
        <v>5.6399999999999999E-2</v>
      </c>
    </row>
    <row r="115" spans="1:11">
      <c r="A115" t="s">
        <v>21</v>
      </c>
      <c r="B115" t="s">
        <v>40</v>
      </c>
      <c r="C115" s="1">
        <v>45413</v>
      </c>
      <c r="D115">
        <v>75</v>
      </c>
      <c r="E115">
        <v>19</v>
      </c>
      <c r="F115">
        <v>343.28</v>
      </c>
      <c r="G115">
        <v>9</v>
      </c>
      <c r="H115" s="2">
        <v>0.47368421052631576</v>
      </c>
      <c r="I115">
        <v>899.46</v>
      </c>
      <c r="J115">
        <v>1</v>
      </c>
      <c r="K115" s="2">
        <v>3.2199999999999999E-2</v>
      </c>
    </row>
    <row r="116" spans="1:11">
      <c r="A116" t="s">
        <v>22</v>
      </c>
      <c r="B116" t="s">
        <v>40</v>
      </c>
      <c r="C116" s="1">
        <v>45413</v>
      </c>
      <c r="D116">
        <v>18</v>
      </c>
      <c r="E116">
        <v>7</v>
      </c>
      <c r="F116">
        <v>204.63</v>
      </c>
      <c r="G116">
        <v>7</v>
      </c>
      <c r="H116" s="2">
        <v>1</v>
      </c>
      <c r="I116">
        <v>789.77</v>
      </c>
      <c r="J116">
        <v>3</v>
      </c>
      <c r="K116" s="2">
        <v>7.4499999999999997E-2</v>
      </c>
    </row>
    <row r="117" spans="1:11">
      <c r="A117" t="s">
        <v>23</v>
      </c>
      <c r="B117" t="s">
        <v>40</v>
      </c>
      <c r="C117" s="1">
        <v>45413</v>
      </c>
      <c r="D117">
        <v>35</v>
      </c>
      <c r="E117">
        <v>6</v>
      </c>
      <c r="F117">
        <v>553.11</v>
      </c>
      <c r="G117">
        <v>4</v>
      </c>
      <c r="H117" s="2">
        <v>0.66666666666666663</v>
      </c>
      <c r="I117">
        <v>3867.67</v>
      </c>
      <c r="J117">
        <v>2</v>
      </c>
      <c r="K117" s="2">
        <v>3.8300000000000001E-2</v>
      </c>
    </row>
    <row r="118" spans="1:11">
      <c r="A118" t="s">
        <v>24</v>
      </c>
      <c r="B118" t="s">
        <v>40</v>
      </c>
      <c r="C118" s="1">
        <v>45413</v>
      </c>
      <c r="D118">
        <v>74</v>
      </c>
      <c r="E118">
        <v>20</v>
      </c>
      <c r="F118">
        <v>623.33000000000004</v>
      </c>
      <c r="G118">
        <v>2</v>
      </c>
      <c r="H118" s="2">
        <v>0.1</v>
      </c>
      <c r="I118">
        <v>359.97</v>
      </c>
      <c r="J118">
        <v>1</v>
      </c>
      <c r="K118" s="2">
        <v>3.8399999999999997E-2</v>
      </c>
    </row>
    <row r="119" spans="1:11">
      <c r="A119" t="s">
        <v>25</v>
      </c>
      <c r="B119" t="s">
        <v>40</v>
      </c>
      <c r="C119" s="1">
        <v>45413</v>
      </c>
      <c r="D119">
        <v>26</v>
      </c>
      <c r="E119">
        <v>7</v>
      </c>
      <c r="F119">
        <v>200.45</v>
      </c>
      <c r="G119">
        <v>1</v>
      </c>
      <c r="H119" s="2">
        <v>0.14285714285714285</v>
      </c>
      <c r="I119">
        <v>3797.35</v>
      </c>
      <c r="J119">
        <v>3</v>
      </c>
      <c r="K119" s="2">
        <v>4.1399999999999999E-2</v>
      </c>
    </row>
    <row r="120" spans="1:11">
      <c r="A120" t="s">
        <v>26</v>
      </c>
      <c r="B120" t="s">
        <v>40</v>
      </c>
      <c r="C120" s="1">
        <v>45413</v>
      </c>
      <c r="D120">
        <v>50</v>
      </c>
      <c r="E120">
        <v>7</v>
      </c>
      <c r="F120">
        <v>196.2</v>
      </c>
      <c r="G120">
        <v>2</v>
      </c>
      <c r="H120" s="2">
        <v>0.2857142857142857</v>
      </c>
      <c r="I120">
        <v>592.71</v>
      </c>
      <c r="J120">
        <v>2</v>
      </c>
      <c r="K120" s="2">
        <v>2.76E-2</v>
      </c>
    </row>
    <row r="121" spans="1:11">
      <c r="A121" t="s">
        <v>27</v>
      </c>
      <c r="B121" t="s">
        <v>40</v>
      </c>
      <c r="C121" s="1">
        <v>45413</v>
      </c>
      <c r="D121">
        <v>97</v>
      </c>
      <c r="E121">
        <v>5</v>
      </c>
      <c r="F121">
        <v>185.62</v>
      </c>
      <c r="G121">
        <v>4</v>
      </c>
      <c r="H121" s="2">
        <v>0.8</v>
      </c>
      <c r="I121">
        <v>1282.81</v>
      </c>
      <c r="J121">
        <v>1</v>
      </c>
      <c r="K121" s="2">
        <v>7.22E-2</v>
      </c>
    </row>
    <row r="122" spans="1:11">
      <c r="A122" t="s">
        <v>28</v>
      </c>
      <c r="B122" t="s">
        <v>40</v>
      </c>
      <c r="C122" s="1">
        <v>45413</v>
      </c>
      <c r="D122">
        <v>91</v>
      </c>
      <c r="E122">
        <v>7</v>
      </c>
      <c r="F122">
        <v>89.39</v>
      </c>
      <c r="G122">
        <v>6</v>
      </c>
      <c r="H122" s="2">
        <v>0.8571428571428571</v>
      </c>
      <c r="I122">
        <v>3971.59</v>
      </c>
      <c r="J122">
        <v>3</v>
      </c>
      <c r="K122" s="2">
        <v>9.0700000000000003E-2</v>
      </c>
    </row>
    <row r="123" spans="1:11">
      <c r="A123" t="s">
        <v>29</v>
      </c>
      <c r="B123" t="s">
        <v>40</v>
      </c>
      <c r="C123" s="1">
        <v>45413</v>
      </c>
      <c r="D123">
        <v>21</v>
      </c>
      <c r="E123">
        <v>14</v>
      </c>
      <c r="F123">
        <v>472.79</v>
      </c>
      <c r="G123">
        <v>8</v>
      </c>
      <c r="H123" s="2">
        <v>0.5714285714285714</v>
      </c>
      <c r="I123">
        <v>3830.32</v>
      </c>
      <c r="J123">
        <v>2</v>
      </c>
      <c r="K123" s="2">
        <v>3.5200000000000002E-2</v>
      </c>
    </row>
    <row r="124" spans="1:11">
      <c r="A124" t="s">
        <v>30</v>
      </c>
      <c r="B124" t="s">
        <v>40</v>
      </c>
      <c r="C124" s="1">
        <v>45413</v>
      </c>
      <c r="D124">
        <v>91</v>
      </c>
      <c r="E124">
        <v>15</v>
      </c>
      <c r="F124">
        <v>173.03</v>
      </c>
      <c r="G124">
        <v>4</v>
      </c>
      <c r="H124" s="2">
        <v>0.26666666666666666</v>
      </c>
      <c r="I124">
        <v>386.08</v>
      </c>
      <c r="J124">
        <v>1</v>
      </c>
      <c r="K124" s="2">
        <v>9.820000000000001E-2</v>
      </c>
    </row>
    <row r="125" spans="1:11">
      <c r="A125" t="s">
        <v>31</v>
      </c>
      <c r="B125" t="s">
        <v>40</v>
      </c>
      <c r="C125" s="1">
        <v>45413</v>
      </c>
      <c r="D125">
        <v>67</v>
      </c>
      <c r="E125">
        <v>15</v>
      </c>
      <c r="F125">
        <v>499.68</v>
      </c>
      <c r="G125">
        <v>0</v>
      </c>
      <c r="H125" s="2">
        <v>0</v>
      </c>
      <c r="I125">
        <v>1287.1300000000001</v>
      </c>
      <c r="J125">
        <v>3</v>
      </c>
      <c r="K125" s="2">
        <v>1E-3</v>
      </c>
    </row>
    <row r="126" spans="1:11">
      <c r="A126" t="s">
        <v>32</v>
      </c>
      <c r="B126" t="s">
        <v>40</v>
      </c>
      <c r="C126" s="1">
        <v>45413</v>
      </c>
      <c r="D126">
        <v>19</v>
      </c>
      <c r="E126">
        <v>13</v>
      </c>
      <c r="F126">
        <v>316.23</v>
      </c>
      <c r="G126">
        <v>1</v>
      </c>
      <c r="H126" s="2">
        <v>7.6923076923076927E-2</v>
      </c>
      <c r="I126">
        <v>1598.49</v>
      </c>
      <c r="J126">
        <v>2</v>
      </c>
      <c r="K126" s="2">
        <v>5.8299999999999998E-2</v>
      </c>
    </row>
    <row r="127" spans="1:11">
      <c r="A127" t="s">
        <v>33</v>
      </c>
      <c r="B127" t="s">
        <v>40</v>
      </c>
      <c r="C127" s="1">
        <v>45413</v>
      </c>
      <c r="D127">
        <v>105</v>
      </c>
      <c r="E127">
        <v>6</v>
      </c>
      <c r="F127">
        <v>567.03</v>
      </c>
      <c r="G127">
        <v>1</v>
      </c>
      <c r="H127" s="2">
        <v>0.16666666666666666</v>
      </c>
      <c r="I127">
        <v>3496.65</v>
      </c>
      <c r="J127">
        <v>1</v>
      </c>
      <c r="K127" s="2">
        <v>3.0600000000000002E-2</v>
      </c>
    </row>
    <row r="128" spans="1:11">
      <c r="A128" t="s">
        <v>34</v>
      </c>
      <c r="B128" t="s">
        <v>40</v>
      </c>
      <c r="C128" s="1">
        <v>45413</v>
      </c>
      <c r="D128">
        <v>73</v>
      </c>
      <c r="E128">
        <v>8</v>
      </c>
      <c r="F128">
        <v>175.52</v>
      </c>
      <c r="G128">
        <v>7</v>
      </c>
      <c r="H128" s="2">
        <v>0.875</v>
      </c>
      <c r="I128">
        <v>455.32</v>
      </c>
      <c r="J128">
        <v>3</v>
      </c>
      <c r="K128" s="2">
        <v>9.35E-2</v>
      </c>
    </row>
    <row r="129" spans="1:11">
      <c r="A129" t="s">
        <v>35</v>
      </c>
      <c r="B129" t="s">
        <v>40</v>
      </c>
      <c r="C129" s="1">
        <v>45413</v>
      </c>
      <c r="D129">
        <v>111</v>
      </c>
      <c r="E129">
        <v>13</v>
      </c>
      <c r="F129">
        <v>358.31</v>
      </c>
      <c r="G129">
        <v>0</v>
      </c>
      <c r="H129" s="2">
        <v>0</v>
      </c>
      <c r="I129">
        <v>2811.77</v>
      </c>
      <c r="J129">
        <v>2</v>
      </c>
      <c r="K129" s="2">
        <v>2.7099999999999999E-2</v>
      </c>
    </row>
    <row r="130" spans="1:11">
      <c r="A130" t="s">
        <v>37</v>
      </c>
      <c r="B130" t="s">
        <v>40</v>
      </c>
      <c r="C130" s="1">
        <v>45413</v>
      </c>
      <c r="D130">
        <v>38</v>
      </c>
      <c r="E130">
        <v>12</v>
      </c>
      <c r="F130">
        <v>556.33000000000004</v>
      </c>
      <c r="G130">
        <v>4</v>
      </c>
      <c r="H130" s="2">
        <v>0.33333333333333331</v>
      </c>
      <c r="I130">
        <v>241.08</v>
      </c>
      <c r="J130">
        <v>1</v>
      </c>
      <c r="K130" s="2">
        <v>7.0599999999999996E-2</v>
      </c>
    </row>
    <row r="131" spans="1:11">
      <c r="A131" t="s">
        <v>38</v>
      </c>
      <c r="B131" t="s">
        <v>40</v>
      </c>
      <c r="C131" s="1">
        <v>45413</v>
      </c>
      <c r="D131">
        <v>33</v>
      </c>
      <c r="E131">
        <v>17</v>
      </c>
      <c r="F131">
        <v>371.65</v>
      </c>
      <c r="G131">
        <v>9</v>
      </c>
      <c r="H131" s="2">
        <v>0.52941176470588236</v>
      </c>
      <c r="I131">
        <v>4068.75</v>
      </c>
      <c r="J131">
        <v>3</v>
      </c>
      <c r="K131" s="2">
        <v>8.5500000000000007E-2</v>
      </c>
    </row>
    <row r="132" spans="1:11">
      <c r="A132" t="s">
        <v>11</v>
      </c>
      <c r="B132" t="s">
        <v>40</v>
      </c>
      <c r="C132" s="1">
        <v>45444</v>
      </c>
      <c r="D132">
        <v>59</v>
      </c>
      <c r="E132">
        <v>16</v>
      </c>
      <c r="F132">
        <v>359.47</v>
      </c>
      <c r="G132">
        <v>7</v>
      </c>
      <c r="H132" s="2">
        <v>0.4375</v>
      </c>
      <c r="I132">
        <v>3958.94</v>
      </c>
      <c r="J132">
        <v>2</v>
      </c>
      <c r="K132" s="2">
        <v>2.46E-2</v>
      </c>
    </row>
    <row r="133" spans="1:11">
      <c r="A133" t="s">
        <v>13</v>
      </c>
      <c r="B133" t="s">
        <v>40</v>
      </c>
      <c r="C133" s="1">
        <v>45444</v>
      </c>
      <c r="D133">
        <v>71</v>
      </c>
      <c r="E133">
        <v>11</v>
      </c>
      <c r="F133">
        <v>379.33</v>
      </c>
      <c r="G133">
        <v>4</v>
      </c>
      <c r="H133" s="2">
        <v>0.36363636363636365</v>
      </c>
      <c r="I133">
        <v>4003.52</v>
      </c>
      <c r="J133">
        <v>1</v>
      </c>
      <c r="K133" s="2">
        <v>4.2900000000000001E-2</v>
      </c>
    </row>
    <row r="134" spans="1:11">
      <c r="A134" t="s">
        <v>14</v>
      </c>
      <c r="B134" t="s">
        <v>40</v>
      </c>
      <c r="C134" s="1">
        <v>45444</v>
      </c>
      <c r="D134">
        <v>48</v>
      </c>
      <c r="E134">
        <v>14</v>
      </c>
      <c r="F134">
        <v>383.94</v>
      </c>
      <c r="G134">
        <v>3</v>
      </c>
      <c r="H134" s="2">
        <v>0.21428571428571427</v>
      </c>
      <c r="I134">
        <v>3173.36</v>
      </c>
      <c r="J134">
        <v>3</v>
      </c>
      <c r="K134" s="2">
        <v>4.0999999999999995E-2</v>
      </c>
    </row>
    <row r="135" spans="1:11">
      <c r="A135" t="s">
        <v>15</v>
      </c>
      <c r="B135" t="s">
        <v>40</v>
      </c>
      <c r="C135" s="1">
        <v>45444</v>
      </c>
      <c r="D135">
        <v>18</v>
      </c>
      <c r="E135">
        <v>7</v>
      </c>
      <c r="F135">
        <v>85.32</v>
      </c>
      <c r="G135">
        <v>3</v>
      </c>
      <c r="H135" s="2">
        <v>0.42857142857142855</v>
      </c>
      <c r="I135">
        <v>1431.69</v>
      </c>
      <c r="J135">
        <v>2</v>
      </c>
      <c r="K135" s="2">
        <v>3.1600000000000003E-2</v>
      </c>
    </row>
    <row r="136" spans="1:11">
      <c r="A136" t="s">
        <v>16</v>
      </c>
      <c r="B136" t="s">
        <v>40</v>
      </c>
      <c r="C136" s="1">
        <v>45444</v>
      </c>
      <c r="D136">
        <v>93</v>
      </c>
      <c r="E136">
        <v>14</v>
      </c>
      <c r="F136">
        <v>466.81</v>
      </c>
      <c r="G136">
        <v>5</v>
      </c>
      <c r="H136" s="2">
        <v>0.35714285714285715</v>
      </c>
      <c r="I136">
        <v>988.98</v>
      </c>
      <c r="J136">
        <v>1</v>
      </c>
      <c r="K136" s="2">
        <v>4.2300000000000004E-2</v>
      </c>
    </row>
    <row r="137" spans="1:11">
      <c r="A137" t="s">
        <v>17</v>
      </c>
      <c r="B137" t="s">
        <v>41</v>
      </c>
      <c r="C137" s="1">
        <v>45444</v>
      </c>
      <c r="D137">
        <v>49</v>
      </c>
      <c r="E137">
        <v>7</v>
      </c>
      <c r="F137">
        <v>512.88</v>
      </c>
      <c r="G137">
        <v>2</v>
      </c>
      <c r="H137" s="2">
        <v>0.2857142857142857</v>
      </c>
      <c r="I137">
        <v>3545.66</v>
      </c>
      <c r="J137">
        <v>1</v>
      </c>
      <c r="K137" s="2">
        <v>1.2699999999999999E-2</v>
      </c>
    </row>
    <row r="138" spans="1:11">
      <c r="A138" t="s">
        <v>18</v>
      </c>
      <c r="B138" t="s">
        <v>41</v>
      </c>
      <c r="C138" s="1">
        <v>45444</v>
      </c>
      <c r="D138">
        <v>85</v>
      </c>
      <c r="E138">
        <v>17</v>
      </c>
      <c r="F138">
        <v>324.56</v>
      </c>
      <c r="G138">
        <v>3</v>
      </c>
      <c r="H138" s="2">
        <v>0.17647058823529413</v>
      </c>
      <c r="I138">
        <v>2420.5300000000002</v>
      </c>
      <c r="J138">
        <v>3</v>
      </c>
      <c r="K138" s="2">
        <v>8.929999999999999E-2</v>
      </c>
    </row>
    <row r="139" spans="1:11">
      <c r="A139" t="s">
        <v>19</v>
      </c>
      <c r="B139" t="s">
        <v>41</v>
      </c>
      <c r="C139" s="1">
        <v>45444</v>
      </c>
      <c r="D139">
        <v>61</v>
      </c>
      <c r="E139">
        <v>7</v>
      </c>
      <c r="F139">
        <v>219.53</v>
      </c>
      <c r="G139">
        <v>7</v>
      </c>
      <c r="H139" s="2">
        <v>1</v>
      </c>
      <c r="I139">
        <v>3860.12</v>
      </c>
      <c r="J139">
        <v>2</v>
      </c>
      <c r="K139" s="2">
        <v>4.3499999999999997E-2</v>
      </c>
    </row>
    <row r="140" spans="1:11">
      <c r="A140" t="s">
        <v>20</v>
      </c>
      <c r="B140" t="s">
        <v>41</v>
      </c>
      <c r="C140" s="1">
        <v>45444</v>
      </c>
      <c r="D140">
        <v>30</v>
      </c>
      <c r="E140">
        <v>16</v>
      </c>
      <c r="F140">
        <v>353.65</v>
      </c>
      <c r="G140">
        <v>9</v>
      </c>
      <c r="H140" s="2">
        <v>0.5625</v>
      </c>
      <c r="I140">
        <v>1213.5899999999999</v>
      </c>
      <c r="J140">
        <v>1</v>
      </c>
      <c r="K140" s="2">
        <v>6.2E-2</v>
      </c>
    </row>
    <row r="141" spans="1:11">
      <c r="A141" t="s">
        <v>21</v>
      </c>
      <c r="B141" t="s">
        <v>41</v>
      </c>
      <c r="C141" s="1">
        <v>45444</v>
      </c>
      <c r="D141">
        <v>54</v>
      </c>
      <c r="E141">
        <v>16</v>
      </c>
      <c r="F141">
        <v>334.41</v>
      </c>
      <c r="G141">
        <v>9</v>
      </c>
      <c r="H141" s="2">
        <v>0.5625</v>
      </c>
      <c r="I141">
        <v>1056.98</v>
      </c>
      <c r="J141">
        <v>3</v>
      </c>
      <c r="K141" s="2">
        <v>3.5200000000000002E-2</v>
      </c>
    </row>
    <row r="142" spans="1:11">
      <c r="A142" t="s">
        <v>22</v>
      </c>
      <c r="B142" t="s">
        <v>41</v>
      </c>
      <c r="C142" s="1">
        <v>45444</v>
      </c>
      <c r="D142">
        <v>19</v>
      </c>
      <c r="E142">
        <v>7</v>
      </c>
      <c r="F142">
        <v>199.46</v>
      </c>
      <c r="G142">
        <v>7</v>
      </c>
      <c r="H142" s="2">
        <v>1</v>
      </c>
      <c r="I142">
        <v>809.56</v>
      </c>
      <c r="J142">
        <v>2</v>
      </c>
      <c r="K142" s="2">
        <v>7.1399999999999991E-2</v>
      </c>
    </row>
    <row r="143" spans="1:11">
      <c r="A143" t="s">
        <v>23</v>
      </c>
      <c r="B143" t="s">
        <v>41</v>
      </c>
      <c r="C143" s="1">
        <v>45444</v>
      </c>
      <c r="D143">
        <v>40</v>
      </c>
      <c r="E143">
        <v>6</v>
      </c>
      <c r="F143">
        <v>509.67</v>
      </c>
      <c r="G143">
        <v>4</v>
      </c>
      <c r="H143" s="2">
        <v>0.66666666666666663</v>
      </c>
      <c r="I143">
        <v>3330.44</v>
      </c>
      <c r="J143">
        <v>1</v>
      </c>
      <c r="K143" s="2">
        <v>3.8300000000000001E-2</v>
      </c>
    </row>
    <row r="144" spans="1:11">
      <c r="A144" t="s">
        <v>24</v>
      </c>
      <c r="B144" t="s">
        <v>41</v>
      </c>
      <c r="C144" s="1">
        <v>45444</v>
      </c>
      <c r="D144">
        <v>73</v>
      </c>
      <c r="E144">
        <v>21</v>
      </c>
      <c r="F144">
        <v>601.02</v>
      </c>
      <c r="G144">
        <v>2</v>
      </c>
      <c r="H144" s="2">
        <v>9.5238095238095233E-2</v>
      </c>
      <c r="I144">
        <v>364.56</v>
      </c>
      <c r="J144">
        <v>3</v>
      </c>
      <c r="K144" s="2">
        <v>3.4300000000000004E-2</v>
      </c>
    </row>
    <row r="145" spans="1:11">
      <c r="A145" t="s">
        <v>25</v>
      </c>
      <c r="B145" t="s">
        <v>41</v>
      </c>
      <c r="C145" s="1">
        <v>45444</v>
      </c>
      <c r="D145">
        <v>36</v>
      </c>
      <c r="E145">
        <v>9</v>
      </c>
      <c r="F145">
        <v>196.74</v>
      </c>
      <c r="G145">
        <v>1</v>
      </c>
      <c r="H145" s="2">
        <v>0.1111111111111111</v>
      </c>
      <c r="I145">
        <v>3760.57</v>
      </c>
      <c r="J145">
        <v>2</v>
      </c>
      <c r="K145" s="2">
        <v>3.9800000000000002E-2</v>
      </c>
    </row>
    <row r="146" spans="1:11">
      <c r="A146" t="s">
        <v>26</v>
      </c>
      <c r="B146" t="s">
        <v>41</v>
      </c>
      <c r="C146" s="1">
        <v>45444</v>
      </c>
      <c r="D146">
        <v>58</v>
      </c>
      <c r="E146">
        <v>8</v>
      </c>
      <c r="F146">
        <v>196.58</v>
      </c>
      <c r="G146">
        <v>3</v>
      </c>
      <c r="H146" s="2">
        <v>0.375</v>
      </c>
      <c r="I146">
        <v>692.47</v>
      </c>
      <c r="J146">
        <v>1</v>
      </c>
      <c r="K146" s="2">
        <v>3.27E-2</v>
      </c>
    </row>
    <row r="147" spans="1:11">
      <c r="A147" t="s">
        <v>27</v>
      </c>
      <c r="B147" t="s">
        <v>41</v>
      </c>
      <c r="C147" s="1">
        <v>45444</v>
      </c>
      <c r="D147">
        <v>100</v>
      </c>
      <c r="E147">
        <v>5</v>
      </c>
      <c r="F147">
        <v>153.87</v>
      </c>
      <c r="G147">
        <v>2</v>
      </c>
      <c r="H147" s="2">
        <v>0.4</v>
      </c>
      <c r="I147">
        <v>1190.24</v>
      </c>
      <c r="J147">
        <v>3</v>
      </c>
      <c r="K147" s="2">
        <v>8.0600000000000005E-2</v>
      </c>
    </row>
    <row r="148" spans="1:11">
      <c r="A148" t="s">
        <v>28</v>
      </c>
      <c r="B148" t="s">
        <v>41</v>
      </c>
      <c r="C148" s="1">
        <v>45444</v>
      </c>
      <c r="D148">
        <v>93</v>
      </c>
      <c r="E148">
        <v>5</v>
      </c>
      <c r="F148">
        <v>85.65</v>
      </c>
      <c r="G148">
        <v>5</v>
      </c>
      <c r="H148" s="2">
        <v>1</v>
      </c>
      <c r="I148">
        <v>3913.17</v>
      </c>
      <c r="J148">
        <v>2</v>
      </c>
      <c r="K148" s="2">
        <v>9.5700000000000007E-2</v>
      </c>
    </row>
    <row r="149" spans="1:11">
      <c r="A149" t="s">
        <v>29</v>
      </c>
      <c r="B149" t="s">
        <v>41</v>
      </c>
      <c r="C149" s="1">
        <v>45444</v>
      </c>
      <c r="D149">
        <v>28</v>
      </c>
      <c r="E149">
        <v>16</v>
      </c>
      <c r="F149">
        <v>506.95</v>
      </c>
      <c r="G149">
        <v>6</v>
      </c>
      <c r="H149" s="2">
        <v>0.375</v>
      </c>
      <c r="I149">
        <v>3993.03</v>
      </c>
      <c r="J149">
        <v>3</v>
      </c>
      <c r="K149" s="2">
        <v>3.0600000000000002E-2</v>
      </c>
    </row>
    <row r="150" spans="1:11">
      <c r="A150" t="s">
        <v>30</v>
      </c>
      <c r="B150" t="s">
        <v>41</v>
      </c>
      <c r="C150" s="1">
        <v>45444</v>
      </c>
      <c r="D150">
        <v>88</v>
      </c>
      <c r="E150">
        <v>18</v>
      </c>
      <c r="F150">
        <v>181.21</v>
      </c>
      <c r="G150">
        <v>4</v>
      </c>
      <c r="H150" s="2">
        <v>0.22222222222222221</v>
      </c>
      <c r="I150">
        <v>377.13</v>
      </c>
      <c r="J150">
        <v>2</v>
      </c>
      <c r="K150" s="2">
        <v>0.10009999999999999</v>
      </c>
    </row>
    <row r="151" spans="1:11">
      <c r="A151" t="s">
        <v>31</v>
      </c>
      <c r="B151" t="s">
        <v>41</v>
      </c>
      <c r="C151" s="1">
        <v>45444</v>
      </c>
      <c r="D151">
        <v>69</v>
      </c>
      <c r="E151">
        <v>16</v>
      </c>
      <c r="F151">
        <v>495.32</v>
      </c>
      <c r="G151">
        <v>0</v>
      </c>
      <c r="H151" s="2">
        <v>0</v>
      </c>
      <c r="I151">
        <v>1262.99</v>
      </c>
      <c r="J151">
        <v>1</v>
      </c>
      <c r="K151" s="2">
        <v>1E-3</v>
      </c>
    </row>
    <row r="152" spans="1:11">
      <c r="A152" t="s">
        <v>32</v>
      </c>
      <c r="B152" t="s">
        <v>41</v>
      </c>
      <c r="C152" s="1">
        <v>45444</v>
      </c>
      <c r="D152">
        <v>21</v>
      </c>
      <c r="E152">
        <v>16</v>
      </c>
      <c r="F152">
        <v>315.91000000000003</v>
      </c>
      <c r="G152">
        <v>1</v>
      </c>
      <c r="H152" s="2">
        <v>6.25E-2</v>
      </c>
      <c r="I152">
        <v>1455.83</v>
      </c>
      <c r="J152">
        <v>3</v>
      </c>
      <c r="K152" s="2">
        <v>5.1299999999999998E-2</v>
      </c>
    </row>
    <row r="153" spans="1:11">
      <c r="A153" t="s">
        <v>33</v>
      </c>
      <c r="B153" t="s">
        <v>41</v>
      </c>
      <c r="C153" s="1">
        <v>45444</v>
      </c>
      <c r="D153">
        <v>92</v>
      </c>
      <c r="E153">
        <v>5</v>
      </c>
      <c r="F153">
        <v>569.75</v>
      </c>
      <c r="G153">
        <v>2</v>
      </c>
      <c r="H153" s="2">
        <v>0.4</v>
      </c>
      <c r="I153">
        <v>3734.43</v>
      </c>
      <c r="J153">
        <v>2</v>
      </c>
      <c r="K153" s="2">
        <v>2.76E-2</v>
      </c>
    </row>
    <row r="154" spans="1:11">
      <c r="A154" t="s">
        <v>34</v>
      </c>
      <c r="B154" t="s">
        <v>41</v>
      </c>
      <c r="C154" s="1">
        <v>45444</v>
      </c>
      <c r="D154">
        <v>58</v>
      </c>
      <c r="E154">
        <v>7</v>
      </c>
      <c r="F154">
        <v>173.24</v>
      </c>
      <c r="G154">
        <v>7</v>
      </c>
      <c r="H154" s="2">
        <v>1</v>
      </c>
      <c r="I154">
        <v>525.73</v>
      </c>
      <c r="J154">
        <v>1</v>
      </c>
      <c r="K154" s="2">
        <v>8.2299999999999998E-2</v>
      </c>
    </row>
    <row r="155" spans="1:11">
      <c r="A155" t="s">
        <v>35</v>
      </c>
      <c r="B155" t="s">
        <v>41</v>
      </c>
      <c r="C155" s="1">
        <v>45444</v>
      </c>
      <c r="D155">
        <v>114</v>
      </c>
      <c r="E155">
        <v>13</v>
      </c>
      <c r="F155">
        <v>364.35</v>
      </c>
      <c r="G155">
        <v>0</v>
      </c>
      <c r="H155" s="2">
        <v>0</v>
      </c>
      <c r="I155">
        <v>2988.28</v>
      </c>
      <c r="J155">
        <v>3</v>
      </c>
      <c r="K155" s="2">
        <v>2.58E-2</v>
      </c>
    </row>
    <row r="156" spans="1:11">
      <c r="A156" t="s">
        <v>37</v>
      </c>
      <c r="B156" t="s">
        <v>41</v>
      </c>
      <c r="C156" s="1">
        <v>45444</v>
      </c>
      <c r="D156">
        <v>35</v>
      </c>
      <c r="E156">
        <v>12</v>
      </c>
      <c r="F156">
        <v>515.24</v>
      </c>
      <c r="G156">
        <v>5</v>
      </c>
      <c r="H156" s="2">
        <v>0.41666666666666669</v>
      </c>
      <c r="I156">
        <v>224.24</v>
      </c>
      <c r="J156">
        <v>2</v>
      </c>
      <c r="K156" s="2">
        <v>6.9800000000000001E-2</v>
      </c>
    </row>
    <row r="157" spans="1:11">
      <c r="A157" t="s">
        <v>38</v>
      </c>
      <c r="B157" t="s">
        <v>41</v>
      </c>
      <c r="C157" s="1">
        <v>45444</v>
      </c>
      <c r="D157">
        <v>35</v>
      </c>
      <c r="E157">
        <v>16</v>
      </c>
      <c r="F157">
        <v>351.71</v>
      </c>
      <c r="G157">
        <v>9</v>
      </c>
      <c r="H157" s="2">
        <v>0.5625</v>
      </c>
      <c r="I157">
        <v>3984.69</v>
      </c>
      <c r="J157">
        <v>1</v>
      </c>
      <c r="K157" s="2">
        <v>7.4099999999999999E-2</v>
      </c>
    </row>
    <row r="158" spans="1:11">
      <c r="A158" t="s">
        <v>11</v>
      </c>
      <c r="B158" t="s">
        <v>41</v>
      </c>
      <c r="C158" s="1">
        <v>45474</v>
      </c>
      <c r="D158">
        <v>71</v>
      </c>
      <c r="E158">
        <v>17</v>
      </c>
      <c r="F158">
        <v>360.1</v>
      </c>
      <c r="G158">
        <v>6</v>
      </c>
      <c r="H158" s="2">
        <v>0.35294117647058826</v>
      </c>
      <c r="I158">
        <v>4444.83</v>
      </c>
      <c r="J158">
        <v>3</v>
      </c>
      <c r="K158" s="2">
        <v>2.9500000000000002E-2</v>
      </c>
    </row>
    <row r="159" spans="1:11">
      <c r="A159" t="s">
        <v>13</v>
      </c>
      <c r="B159" t="s">
        <v>41</v>
      </c>
      <c r="C159" s="1">
        <v>45474</v>
      </c>
      <c r="D159">
        <v>62</v>
      </c>
      <c r="E159">
        <v>13</v>
      </c>
      <c r="F159">
        <v>364.64</v>
      </c>
      <c r="G159">
        <v>4</v>
      </c>
      <c r="H159" s="2">
        <v>0.30769230769230771</v>
      </c>
      <c r="I159">
        <v>3704.33</v>
      </c>
      <c r="J159">
        <v>2</v>
      </c>
      <c r="K159" s="2">
        <v>3.7499999999999999E-2</v>
      </c>
    </row>
    <row r="160" spans="1:11">
      <c r="A160" t="s">
        <v>14</v>
      </c>
      <c r="B160" t="s">
        <v>41</v>
      </c>
      <c r="C160" s="1">
        <v>45474</v>
      </c>
      <c r="D160">
        <v>53</v>
      </c>
      <c r="E160">
        <v>14</v>
      </c>
      <c r="F160">
        <v>367.56</v>
      </c>
      <c r="G160">
        <v>2</v>
      </c>
      <c r="H160" s="2">
        <v>0.14285714285714285</v>
      </c>
      <c r="I160">
        <v>3514.07</v>
      </c>
      <c r="J160">
        <v>1</v>
      </c>
      <c r="K160" s="2">
        <v>4.0099999999999997E-2</v>
      </c>
    </row>
    <row r="161" spans="1:11">
      <c r="A161" t="s">
        <v>15</v>
      </c>
      <c r="B161" t="s">
        <v>41</v>
      </c>
      <c r="C161" s="1">
        <v>45474</v>
      </c>
      <c r="D161">
        <v>18</v>
      </c>
      <c r="E161">
        <v>6</v>
      </c>
      <c r="F161">
        <v>76.27</v>
      </c>
      <c r="G161">
        <v>4</v>
      </c>
      <c r="H161" s="2">
        <v>0.66666666666666663</v>
      </c>
      <c r="I161">
        <v>1597.98</v>
      </c>
      <c r="J161">
        <v>1</v>
      </c>
      <c r="K161" s="2">
        <v>2.81E-2</v>
      </c>
    </row>
    <row r="162" spans="1:11">
      <c r="A162" t="s">
        <v>16</v>
      </c>
      <c r="B162" t="s">
        <v>41</v>
      </c>
      <c r="C162" s="1">
        <v>45474</v>
      </c>
      <c r="D162">
        <v>71</v>
      </c>
      <c r="E162">
        <v>12</v>
      </c>
      <c r="F162">
        <v>487.04</v>
      </c>
      <c r="G162">
        <v>5</v>
      </c>
      <c r="H162" s="2">
        <v>0.41666666666666669</v>
      </c>
      <c r="I162">
        <v>1004.9</v>
      </c>
      <c r="J162">
        <v>3</v>
      </c>
      <c r="K162" s="2">
        <v>4.2099999999999999E-2</v>
      </c>
    </row>
    <row r="163" spans="1:11">
      <c r="A163" t="s">
        <v>17</v>
      </c>
      <c r="B163" t="s">
        <v>41</v>
      </c>
      <c r="C163" s="1">
        <v>45474</v>
      </c>
      <c r="D163">
        <v>70</v>
      </c>
      <c r="E163">
        <v>5</v>
      </c>
      <c r="F163">
        <v>491.31</v>
      </c>
      <c r="G163">
        <v>3</v>
      </c>
      <c r="H163" s="2">
        <v>0.6</v>
      </c>
      <c r="I163">
        <v>3289.06</v>
      </c>
      <c r="J163">
        <v>2</v>
      </c>
      <c r="K163" s="2">
        <v>1.1299999999999999E-2</v>
      </c>
    </row>
    <row r="164" spans="1:11">
      <c r="A164" t="s">
        <v>18</v>
      </c>
      <c r="B164" t="s">
        <v>41</v>
      </c>
      <c r="C164" s="1">
        <v>45474</v>
      </c>
      <c r="D164">
        <v>77</v>
      </c>
      <c r="E164">
        <v>15</v>
      </c>
      <c r="F164">
        <v>282.58999999999997</v>
      </c>
      <c r="G164">
        <v>2</v>
      </c>
      <c r="H164" s="2">
        <v>0.13333333333333333</v>
      </c>
      <c r="I164">
        <v>2296.14</v>
      </c>
      <c r="J164">
        <v>1</v>
      </c>
      <c r="K164" s="2">
        <v>9.5799999999999996E-2</v>
      </c>
    </row>
    <row r="165" spans="1:11">
      <c r="A165" t="s">
        <v>19</v>
      </c>
      <c r="B165" t="s">
        <v>41</v>
      </c>
      <c r="C165" s="1">
        <v>45474</v>
      </c>
      <c r="D165">
        <v>50</v>
      </c>
      <c r="E165">
        <v>9</v>
      </c>
      <c r="F165">
        <v>246.06</v>
      </c>
      <c r="G165">
        <v>5</v>
      </c>
      <c r="H165" s="2">
        <v>0.55555555555555558</v>
      </c>
      <c r="I165">
        <v>4227.22</v>
      </c>
      <c r="J165">
        <v>3</v>
      </c>
      <c r="K165" s="2">
        <v>3.7200000000000004E-2</v>
      </c>
    </row>
    <row r="166" spans="1:11">
      <c r="A166" t="s">
        <v>20</v>
      </c>
      <c r="B166" t="s">
        <v>41</v>
      </c>
      <c r="C166" s="1">
        <v>45474</v>
      </c>
      <c r="D166">
        <v>31</v>
      </c>
      <c r="E166">
        <v>15</v>
      </c>
      <c r="F166">
        <v>347.38</v>
      </c>
      <c r="G166">
        <v>10</v>
      </c>
      <c r="H166" s="2">
        <v>0.66666666666666663</v>
      </c>
      <c r="I166">
        <v>1101.06</v>
      </c>
      <c r="J166">
        <v>2</v>
      </c>
      <c r="K166" s="2">
        <v>6.0100000000000001E-2</v>
      </c>
    </row>
    <row r="167" spans="1:11">
      <c r="A167" t="s">
        <v>21</v>
      </c>
      <c r="B167" t="s">
        <v>41</v>
      </c>
      <c r="C167" s="1">
        <v>45474</v>
      </c>
      <c r="D167">
        <v>77</v>
      </c>
      <c r="E167">
        <v>16</v>
      </c>
      <c r="F167">
        <v>335.59</v>
      </c>
      <c r="G167">
        <v>7</v>
      </c>
      <c r="H167" s="2">
        <v>0.4375</v>
      </c>
      <c r="I167">
        <v>1087.4100000000001</v>
      </c>
      <c r="J167">
        <v>1</v>
      </c>
      <c r="K167" s="2">
        <v>3.6900000000000002E-2</v>
      </c>
    </row>
    <row r="168" spans="1:11">
      <c r="A168" t="s">
        <v>22</v>
      </c>
      <c r="B168" t="s">
        <v>41</v>
      </c>
      <c r="C168" s="1">
        <v>45474</v>
      </c>
      <c r="D168">
        <v>17</v>
      </c>
      <c r="E168">
        <v>8</v>
      </c>
      <c r="F168">
        <v>208.21</v>
      </c>
      <c r="G168">
        <v>4</v>
      </c>
      <c r="H168" s="2">
        <v>0.5</v>
      </c>
      <c r="I168">
        <v>828.73</v>
      </c>
      <c r="J168">
        <v>3</v>
      </c>
      <c r="K168" s="2">
        <v>7.4200000000000002E-2</v>
      </c>
    </row>
    <row r="169" spans="1:11">
      <c r="A169" t="s">
        <v>23</v>
      </c>
      <c r="B169" t="s">
        <v>41</v>
      </c>
      <c r="C169" s="1">
        <v>45474</v>
      </c>
      <c r="D169">
        <v>32</v>
      </c>
      <c r="E169">
        <v>6</v>
      </c>
      <c r="F169">
        <v>553.58000000000004</v>
      </c>
      <c r="G169">
        <v>3</v>
      </c>
      <c r="H169" s="2">
        <v>0.5</v>
      </c>
      <c r="I169">
        <v>3939.56</v>
      </c>
      <c r="J169">
        <v>2</v>
      </c>
      <c r="K169" s="2">
        <v>3.78E-2</v>
      </c>
    </row>
    <row r="170" spans="1:11">
      <c r="A170" t="s">
        <v>24</v>
      </c>
      <c r="B170" t="s">
        <v>41</v>
      </c>
      <c r="C170" s="1">
        <v>45474</v>
      </c>
      <c r="D170">
        <v>72</v>
      </c>
      <c r="E170">
        <v>21</v>
      </c>
      <c r="F170">
        <v>604.57000000000005</v>
      </c>
      <c r="G170">
        <v>2</v>
      </c>
      <c r="H170" s="2">
        <v>9.5238095238095233E-2</v>
      </c>
      <c r="I170">
        <v>327.82</v>
      </c>
      <c r="J170">
        <v>1</v>
      </c>
      <c r="K170" s="2">
        <v>3.6699999999999997E-2</v>
      </c>
    </row>
    <row r="171" spans="1:11">
      <c r="A171" t="s">
        <v>25</v>
      </c>
      <c r="B171" t="s">
        <v>41</v>
      </c>
      <c r="C171" s="1">
        <v>45474</v>
      </c>
      <c r="D171">
        <v>34</v>
      </c>
      <c r="E171">
        <v>7</v>
      </c>
      <c r="F171">
        <v>199.39</v>
      </c>
      <c r="G171">
        <v>1</v>
      </c>
      <c r="H171" s="2">
        <v>0.14285714285714285</v>
      </c>
      <c r="I171">
        <v>3767.74</v>
      </c>
      <c r="J171">
        <v>3</v>
      </c>
      <c r="K171" s="2">
        <v>3.85E-2</v>
      </c>
    </row>
    <row r="172" spans="1:11">
      <c r="A172" t="s">
        <v>26</v>
      </c>
      <c r="B172" t="s">
        <v>41</v>
      </c>
      <c r="C172" s="1">
        <v>45474</v>
      </c>
      <c r="D172">
        <v>71</v>
      </c>
      <c r="E172">
        <v>9</v>
      </c>
      <c r="F172">
        <v>220.4</v>
      </c>
      <c r="G172">
        <v>2</v>
      </c>
      <c r="H172" s="2">
        <v>0.22222222222222221</v>
      </c>
      <c r="I172">
        <v>692.29</v>
      </c>
      <c r="J172">
        <v>2</v>
      </c>
      <c r="K172" s="2">
        <v>2.8999999999999998E-2</v>
      </c>
    </row>
    <row r="173" spans="1:11">
      <c r="A173" t="s">
        <v>27</v>
      </c>
      <c r="B173" t="s">
        <v>41</v>
      </c>
      <c r="C173" s="1">
        <v>45474</v>
      </c>
      <c r="D173">
        <v>83</v>
      </c>
      <c r="E173">
        <v>5</v>
      </c>
      <c r="F173">
        <v>166.85</v>
      </c>
      <c r="G173">
        <v>4</v>
      </c>
      <c r="H173" s="2">
        <v>0.8</v>
      </c>
      <c r="I173">
        <v>1364.24</v>
      </c>
      <c r="J173">
        <v>1</v>
      </c>
      <c r="K173" s="2">
        <v>8.3100000000000007E-2</v>
      </c>
    </row>
    <row r="174" spans="1:11">
      <c r="A174" t="s">
        <v>28</v>
      </c>
      <c r="B174" t="s">
        <v>41</v>
      </c>
      <c r="C174" s="1">
        <v>45474</v>
      </c>
      <c r="D174">
        <v>71</v>
      </c>
      <c r="E174">
        <v>7</v>
      </c>
      <c r="F174">
        <v>78.53</v>
      </c>
      <c r="G174">
        <v>4</v>
      </c>
      <c r="H174" s="2">
        <v>0.5714285714285714</v>
      </c>
      <c r="I174">
        <v>3652.64</v>
      </c>
      <c r="J174">
        <v>3</v>
      </c>
      <c r="K174" s="2">
        <v>8.6999999999999994E-2</v>
      </c>
    </row>
    <row r="175" spans="1:11">
      <c r="A175" t="s">
        <v>29</v>
      </c>
      <c r="B175" t="s">
        <v>41</v>
      </c>
      <c r="C175" s="1">
        <v>45474</v>
      </c>
      <c r="D175">
        <v>24</v>
      </c>
      <c r="E175">
        <v>13</v>
      </c>
      <c r="F175">
        <v>471.72</v>
      </c>
      <c r="G175">
        <v>7</v>
      </c>
      <c r="H175" s="2">
        <v>0.53846153846153844</v>
      </c>
      <c r="I175">
        <v>3588.89</v>
      </c>
      <c r="J175">
        <v>2</v>
      </c>
      <c r="K175" s="2">
        <v>3.5400000000000001E-2</v>
      </c>
    </row>
    <row r="176" spans="1:11">
      <c r="A176" t="s">
        <v>30</v>
      </c>
      <c r="B176" t="s">
        <v>41</v>
      </c>
      <c r="C176" s="1">
        <v>45474</v>
      </c>
      <c r="D176">
        <v>75</v>
      </c>
      <c r="E176">
        <v>17</v>
      </c>
      <c r="F176">
        <v>176.07</v>
      </c>
      <c r="G176">
        <v>5</v>
      </c>
      <c r="H176" s="2">
        <v>0.29411764705882354</v>
      </c>
      <c r="I176">
        <v>458.18</v>
      </c>
      <c r="J176">
        <v>1</v>
      </c>
      <c r="K176" s="2">
        <v>9.9399999999999988E-2</v>
      </c>
    </row>
    <row r="177" spans="1:11">
      <c r="A177" t="s">
        <v>31</v>
      </c>
      <c r="B177" t="s">
        <v>41</v>
      </c>
      <c r="C177" s="1">
        <v>45474</v>
      </c>
      <c r="D177">
        <v>76</v>
      </c>
      <c r="E177">
        <v>11</v>
      </c>
      <c r="F177">
        <v>486.93</v>
      </c>
      <c r="G177">
        <v>0</v>
      </c>
      <c r="H177" s="2">
        <v>0</v>
      </c>
      <c r="I177">
        <v>1219.29</v>
      </c>
      <c r="J177">
        <v>3</v>
      </c>
      <c r="K177" s="2">
        <v>1E-3</v>
      </c>
    </row>
    <row r="178" spans="1:11">
      <c r="A178" t="s">
        <v>32</v>
      </c>
      <c r="B178" t="s">
        <v>41</v>
      </c>
      <c r="C178" s="1">
        <v>45474</v>
      </c>
      <c r="D178">
        <v>20</v>
      </c>
      <c r="E178">
        <v>14</v>
      </c>
      <c r="F178">
        <v>283.66000000000003</v>
      </c>
      <c r="G178">
        <v>2</v>
      </c>
      <c r="H178" s="2">
        <v>0.14285714285714285</v>
      </c>
      <c r="I178">
        <v>1494.14</v>
      </c>
      <c r="J178">
        <v>2</v>
      </c>
      <c r="K178" s="2">
        <v>5.7800000000000004E-2</v>
      </c>
    </row>
    <row r="179" spans="1:11">
      <c r="A179" t="s">
        <v>33</v>
      </c>
      <c r="B179" t="s">
        <v>41</v>
      </c>
      <c r="C179" s="1">
        <v>45474</v>
      </c>
      <c r="D179">
        <v>79</v>
      </c>
      <c r="E179">
        <v>6</v>
      </c>
      <c r="F179">
        <v>536.04999999999995</v>
      </c>
      <c r="G179">
        <v>1</v>
      </c>
      <c r="H179" s="2">
        <v>0.16666666666666666</v>
      </c>
      <c r="I179">
        <v>3682.29</v>
      </c>
      <c r="J179">
        <v>1</v>
      </c>
      <c r="K179" s="2">
        <v>3.2099999999999997E-2</v>
      </c>
    </row>
    <row r="180" spans="1:11">
      <c r="A180" t="s">
        <v>34</v>
      </c>
      <c r="B180" t="s">
        <v>41</v>
      </c>
      <c r="C180" s="1">
        <v>45474</v>
      </c>
      <c r="D180">
        <v>82</v>
      </c>
      <c r="E180">
        <v>9</v>
      </c>
      <c r="F180">
        <v>171.86</v>
      </c>
      <c r="G180">
        <v>7</v>
      </c>
      <c r="H180" s="2">
        <v>0.77777777777777779</v>
      </c>
      <c r="I180">
        <v>506.88</v>
      </c>
      <c r="J180">
        <v>3</v>
      </c>
      <c r="K180" s="2">
        <v>9.4100000000000003E-2</v>
      </c>
    </row>
    <row r="181" spans="1:11">
      <c r="A181" t="s">
        <v>35</v>
      </c>
      <c r="B181" t="s">
        <v>41</v>
      </c>
      <c r="C181" s="1">
        <v>45474</v>
      </c>
      <c r="D181">
        <v>103</v>
      </c>
      <c r="E181">
        <v>15</v>
      </c>
      <c r="F181">
        <v>359.16</v>
      </c>
      <c r="G181">
        <v>1</v>
      </c>
      <c r="H181" s="2">
        <v>6.6666666666666666E-2</v>
      </c>
      <c r="I181">
        <v>2949.94</v>
      </c>
      <c r="J181">
        <v>2</v>
      </c>
      <c r="K181" s="2">
        <v>2.3599999999999999E-2</v>
      </c>
    </row>
    <row r="182" spans="1:11">
      <c r="A182" t="s">
        <v>37</v>
      </c>
      <c r="B182" t="s">
        <v>41</v>
      </c>
      <c r="C182" s="1">
        <v>45474</v>
      </c>
      <c r="D182">
        <v>41</v>
      </c>
      <c r="E182">
        <v>9</v>
      </c>
      <c r="F182">
        <v>569.97</v>
      </c>
      <c r="G182">
        <v>5</v>
      </c>
      <c r="H182" s="2">
        <v>0.55555555555555558</v>
      </c>
      <c r="I182">
        <v>259.86</v>
      </c>
      <c r="J182">
        <v>1</v>
      </c>
      <c r="K182" s="2">
        <v>6.3299999999999995E-2</v>
      </c>
    </row>
    <row r="183" spans="1:11">
      <c r="A183" t="s">
        <v>38</v>
      </c>
      <c r="B183" t="s">
        <v>41</v>
      </c>
      <c r="C183" s="1">
        <v>45474</v>
      </c>
      <c r="D183">
        <v>38</v>
      </c>
      <c r="E183">
        <v>14</v>
      </c>
      <c r="F183">
        <v>359.22</v>
      </c>
      <c r="G183">
        <v>8</v>
      </c>
      <c r="H183" s="2">
        <v>0.5714285714285714</v>
      </c>
      <c r="I183">
        <v>3846.34</v>
      </c>
      <c r="J183">
        <v>3</v>
      </c>
      <c r="K183" s="2">
        <v>8.5900000000000004E-2</v>
      </c>
    </row>
    <row r="184" spans="1:11">
      <c r="A184" t="s">
        <v>11</v>
      </c>
      <c r="B184" t="s">
        <v>41</v>
      </c>
      <c r="C184" s="1">
        <v>45505</v>
      </c>
      <c r="D184">
        <v>71</v>
      </c>
      <c r="E184">
        <v>15</v>
      </c>
      <c r="F184">
        <v>297.05</v>
      </c>
      <c r="G184">
        <v>6</v>
      </c>
      <c r="H184" s="2">
        <v>0.4</v>
      </c>
      <c r="I184">
        <v>4043.62</v>
      </c>
      <c r="J184">
        <v>2</v>
      </c>
      <c r="K184" s="2">
        <v>2.7200000000000002E-2</v>
      </c>
    </row>
    <row r="185" spans="1:11">
      <c r="A185" t="s">
        <v>13</v>
      </c>
      <c r="B185" t="s">
        <v>41</v>
      </c>
      <c r="C185" s="1">
        <v>45505</v>
      </c>
      <c r="D185">
        <v>66</v>
      </c>
      <c r="E185">
        <v>13</v>
      </c>
      <c r="F185">
        <v>376.76</v>
      </c>
      <c r="G185">
        <v>5</v>
      </c>
      <c r="H185" s="2">
        <v>0.38461538461538464</v>
      </c>
      <c r="I185">
        <v>3819.73</v>
      </c>
      <c r="J185">
        <v>1</v>
      </c>
      <c r="K185" s="2">
        <v>4.4900000000000002E-2</v>
      </c>
    </row>
    <row r="186" spans="1:11">
      <c r="A186" t="s">
        <v>14</v>
      </c>
      <c r="B186" t="s">
        <v>41</v>
      </c>
      <c r="C186" s="1">
        <v>45505</v>
      </c>
      <c r="D186">
        <v>53</v>
      </c>
      <c r="E186">
        <v>15</v>
      </c>
      <c r="F186">
        <v>379.29</v>
      </c>
      <c r="G186">
        <v>2</v>
      </c>
      <c r="H186" s="2">
        <v>0.13333333333333333</v>
      </c>
      <c r="I186">
        <v>3409.69</v>
      </c>
      <c r="J186">
        <v>1</v>
      </c>
      <c r="K186" s="2">
        <v>4.41E-2</v>
      </c>
    </row>
    <row r="187" spans="1:11">
      <c r="A187" t="s">
        <v>15</v>
      </c>
      <c r="B187" t="s">
        <v>41</v>
      </c>
      <c r="C187" s="1">
        <v>45505</v>
      </c>
      <c r="D187">
        <v>18</v>
      </c>
      <c r="E187">
        <v>8</v>
      </c>
      <c r="F187">
        <v>82.91</v>
      </c>
      <c r="G187">
        <v>3</v>
      </c>
      <c r="H187" s="2">
        <v>0.375</v>
      </c>
      <c r="I187">
        <v>1387.86</v>
      </c>
      <c r="J187">
        <v>3</v>
      </c>
      <c r="K187" s="2">
        <v>3.0099999999999998E-2</v>
      </c>
    </row>
    <row r="188" spans="1:11">
      <c r="A188" t="s">
        <v>16</v>
      </c>
      <c r="B188" t="s">
        <v>41</v>
      </c>
      <c r="C188" s="1">
        <v>45505</v>
      </c>
      <c r="D188">
        <v>72</v>
      </c>
      <c r="E188">
        <v>14</v>
      </c>
      <c r="F188">
        <v>437.47</v>
      </c>
      <c r="G188">
        <v>4</v>
      </c>
      <c r="H188" s="2">
        <v>0.2857142857142857</v>
      </c>
      <c r="I188">
        <v>958.02</v>
      </c>
      <c r="J188">
        <v>2</v>
      </c>
      <c r="K188" s="2">
        <v>3.9100000000000003E-2</v>
      </c>
    </row>
    <row r="189" spans="1:11">
      <c r="A189" t="s">
        <v>17</v>
      </c>
      <c r="B189" t="s">
        <v>41</v>
      </c>
      <c r="C189" s="1">
        <v>45505</v>
      </c>
      <c r="D189">
        <v>64</v>
      </c>
      <c r="E189">
        <v>7</v>
      </c>
      <c r="F189">
        <v>554.20000000000005</v>
      </c>
      <c r="G189">
        <v>2</v>
      </c>
      <c r="H189" s="2">
        <v>0.2857142857142857</v>
      </c>
      <c r="I189">
        <v>3620.9</v>
      </c>
      <c r="J189">
        <v>1</v>
      </c>
      <c r="K189" s="2">
        <v>1.23E-2</v>
      </c>
    </row>
    <row r="190" spans="1:11">
      <c r="A190" t="s">
        <v>18</v>
      </c>
      <c r="B190" t="s">
        <v>41</v>
      </c>
      <c r="C190" s="1">
        <v>45505</v>
      </c>
      <c r="D190">
        <v>76</v>
      </c>
      <c r="E190">
        <v>21</v>
      </c>
      <c r="F190">
        <v>293.93</v>
      </c>
      <c r="G190">
        <v>2</v>
      </c>
      <c r="H190" s="2">
        <v>9.5238095238095233E-2</v>
      </c>
      <c r="I190">
        <v>2531.4</v>
      </c>
      <c r="J190">
        <v>3</v>
      </c>
      <c r="K190" s="2">
        <v>0.1012</v>
      </c>
    </row>
    <row r="191" spans="1:11">
      <c r="A191" t="s">
        <v>19</v>
      </c>
      <c r="B191" t="s">
        <v>41</v>
      </c>
      <c r="C191" s="1">
        <v>45505</v>
      </c>
      <c r="D191">
        <v>64</v>
      </c>
      <c r="E191">
        <v>9</v>
      </c>
      <c r="F191">
        <v>255.17</v>
      </c>
      <c r="G191">
        <v>6</v>
      </c>
      <c r="H191" s="2">
        <v>0.66666666666666663</v>
      </c>
      <c r="I191">
        <v>4136.6899999999996</v>
      </c>
      <c r="J191">
        <v>2</v>
      </c>
      <c r="K191" s="2">
        <v>3.8199999999999998E-2</v>
      </c>
    </row>
    <row r="192" spans="1:11">
      <c r="A192" t="s">
        <v>20</v>
      </c>
      <c r="B192" t="s">
        <v>41</v>
      </c>
      <c r="C192" s="1">
        <v>45505</v>
      </c>
      <c r="D192">
        <v>26</v>
      </c>
      <c r="E192">
        <v>17</v>
      </c>
      <c r="F192">
        <v>391.73</v>
      </c>
      <c r="G192">
        <v>7</v>
      </c>
      <c r="H192" s="2">
        <v>0.41176470588235292</v>
      </c>
      <c r="I192">
        <v>1166.55</v>
      </c>
      <c r="J192">
        <v>1</v>
      </c>
      <c r="K192" s="2">
        <v>6.1200000000000004E-2</v>
      </c>
    </row>
    <row r="193" spans="1:11">
      <c r="A193" t="s">
        <v>21</v>
      </c>
      <c r="B193" t="s">
        <v>41</v>
      </c>
      <c r="C193" s="1">
        <v>45505</v>
      </c>
      <c r="D193">
        <v>65</v>
      </c>
      <c r="E193">
        <v>13</v>
      </c>
      <c r="F193">
        <v>324.26</v>
      </c>
      <c r="G193">
        <v>7</v>
      </c>
      <c r="H193" s="2">
        <v>0.53846153846153844</v>
      </c>
      <c r="I193">
        <v>1044.8599999999999</v>
      </c>
      <c r="J193">
        <v>3</v>
      </c>
      <c r="K193" s="2">
        <v>3.5200000000000002E-2</v>
      </c>
    </row>
    <row r="194" spans="1:11">
      <c r="A194" t="s">
        <v>22</v>
      </c>
      <c r="B194" t="s">
        <v>41</v>
      </c>
      <c r="C194" s="1">
        <v>45505</v>
      </c>
      <c r="D194">
        <v>22</v>
      </c>
      <c r="E194">
        <v>9</v>
      </c>
      <c r="F194">
        <v>211.28</v>
      </c>
      <c r="G194">
        <v>8</v>
      </c>
      <c r="H194" s="2">
        <v>0.88888888888888884</v>
      </c>
      <c r="I194">
        <v>772.77</v>
      </c>
      <c r="J194">
        <v>2</v>
      </c>
      <c r="K194" s="2">
        <v>8.0600000000000005E-2</v>
      </c>
    </row>
    <row r="195" spans="1:11">
      <c r="A195" t="s">
        <v>23</v>
      </c>
      <c r="B195" t="s">
        <v>41</v>
      </c>
      <c r="C195" s="1">
        <v>45505</v>
      </c>
      <c r="D195">
        <v>30</v>
      </c>
      <c r="E195">
        <v>6</v>
      </c>
      <c r="F195">
        <v>549.26</v>
      </c>
      <c r="G195">
        <v>2</v>
      </c>
      <c r="H195" s="2">
        <v>0.33333333333333331</v>
      </c>
      <c r="I195">
        <v>3868.36</v>
      </c>
      <c r="J195">
        <v>1</v>
      </c>
      <c r="K195" s="2">
        <v>4.2800000000000005E-2</v>
      </c>
    </row>
    <row r="196" spans="1:11">
      <c r="A196" t="s">
        <v>24</v>
      </c>
      <c r="B196" t="s">
        <v>41</v>
      </c>
      <c r="C196" s="1">
        <v>45505</v>
      </c>
      <c r="D196">
        <v>83</v>
      </c>
      <c r="E196">
        <v>15</v>
      </c>
      <c r="F196">
        <v>601.05999999999995</v>
      </c>
      <c r="G196">
        <v>3</v>
      </c>
      <c r="H196" s="2">
        <v>0.2</v>
      </c>
      <c r="I196">
        <v>350.62</v>
      </c>
      <c r="J196">
        <v>3</v>
      </c>
      <c r="K196" s="2">
        <v>3.6600000000000001E-2</v>
      </c>
    </row>
    <row r="197" spans="1:11">
      <c r="A197" t="s">
        <v>25</v>
      </c>
      <c r="B197" t="s">
        <v>41</v>
      </c>
      <c r="C197" s="1">
        <v>45505</v>
      </c>
      <c r="D197">
        <v>35</v>
      </c>
      <c r="E197">
        <v>6</v>
      </c>
      <c r="F197">
        <v>192.19</v>
      </c>
      <c r="G197">
        <v>1</v>
      </c>
      <c r="H197" s="2">
        <v>0.16666666666666666</v>
      </c>
      <c r="I197">
        <v>3963.32</v>
      </c>
      <c r="J197">
        <v>2</v>
      </c>
      <c r="K197" s="2">
        <v>3.9800000000000002E-2</v>
      </c>
    </row>
    <row r="198" spans="1:11">
      <c r="A198" t="s">
        <v>26</v>
      </c>
      <c r="B198" t="s">
        <v>41</v>
      </c>
      <c r="C198" s="1">
        <v>45505</v>
      </c>
      <c r="D198">
        <v>73</v>
      </c>
      <c r="E198">
        <v>8</v>
      </c>
      <c r="F198">
        <v>191.76</v>
      </c>
      <c r="G198">
        <v>3</v>
      </c>
      <c r="H198" s="2">
        <v>0.375</v>
      </c>
      <c r="I198">
        <v>675.97</v>
      </c>
      <c r="J198">
        <v>3</v>
      </c>
      <c r="K198" s="2">
        <v>3.0200000000000001E-2</v>
      </c>
    </row>
    <row r="199" spans="1:11">
      <c r="A199" t="s">
        <v>27</v>
      </c>
      <c r="B199" t="s">
        <v>41</v>
      </c>
      <c r="C199" s="1">
        <v>45505</v>
      </c>
      <c r="D199">
        <v>104</v>
      </c>
      <c r="E199">
        <v>4</v>
      </c>
      <c r="F199">
        <v>169.75</v>
      </c>
      <c r="G199">
        <v>3</v>
      </c>
      <c r="H199" s="2">
        <v>0.75</v>
      </c>
      <c r="I199">
        <v>1255.83</v>
      </c>
      <c r="J199">
        <v>2</v>
      </c>
      <c r="K199" s="2">
        <v>7.7600000000000002E-2</v>
      </c>
    </row>
    <row r="200" spans="1:11">
      <c r="A200" t="s">
        <v>28</v>
      </c>
      <c r="B200" t="s">
        <v>41</v>
      </c>
      <c r="C200" s="1">
        <v>45505</v>
      </c>
      <c r="D200">
        <v>71</v>
      </c>
      <c r="E200">
        <v>6</v>
      </c>
      <c r="F200">
        <v>87.5</v>
      </c>
      <c r="G200">
        <v>3</v>
      </c>
      <c r="H200" s="2">
        <v>0.5</v>
      </c>
      <c r="I200">
        <v>3666.64</v>
      </c>
      <c r="J200">
        <v>1</v>
      </c>
      <c r="K200" s="2">
        <v>9.1300000000000006E-2</v>
      </c>
    </row>
    <row r="201" spans="1:11">
      <c r="A201" t="s">
        <v>29</v>
      </c>
      <c r="B201" t="s">
        <v>41</v>
      </c>
      <c r="C201" s="1">
        <v>45505</v>
      </c>
      <c r="D201">
        <v>22</v>
      </c>
      <c r="E201">
        <v>14</v>
      </c>
      <c r="F201">
        <v>477.3</v>
      </c>
      <c r="G201">
        <v>6</v>
      </c>
      <c r="H201" s="2">
        <v>0.42857142857142855</v>
      </c>
      <c r="I201">
        <v>3790.05</v>
      </c>
      <c r="J201">
        <v>3</v>
      </c>
      <c r="K201" s="2">
        <v>3.32E-2</v>
      </c>
    </row>
    <row r="202" spans="1:11">
      <c r="A202" t="s">
        <v>30</v>
      </c>
      <c r="B202" t="s">
        <v>41</v>
      </c>
      <c r="C202" s="1">
        <v>45505</v>
      </c>
      <c r="D202">
        <v>85</v>
      </c>
      <c r="E202">
        <v>17</v>
      </c>
      <c r="F202">
        <v>187.72</v>
      </c>
      <c r="G202">
        <v>5</v>
      </c>
      <c r="H202" s="2">
        <v>0.29411764705882354</v>
      </c>
      <c r="I202">
        <v>443.22</v>
      </c>
      <c r="J202">
        <v>2</v>
      </c>
      <c r="K202" s="2">
        <v>0.1016</v>
      </c>
    </row>
    <row r="203" spans="1:11">
      <c r="A203" t="s">
        <v>31</v>
      </c>
      <c r="B203" t="s">
        <v>41</v>
      </c>
      <c r="C203" s="1">
        <v>45505</v>
      </c>
      <c r="D203">
        <v>80</v>
      </c>
      <c r="E203">
        <v>13</v>
      </c>
      <c r="F203">
        <v>504.59</v>
      </c>
      <c r="G203">
        <v>0</v>
      </c>
      <c r="H203" s="2">
        <v>0</v>
      </c>
      <c r="I203">
        <v>1265.47</v>
      </c>
      <c r="J203">
        <v>1</v>
      </c>
      <c r="K203" s="2">
        <v>1E-3</v>
      </c>
    </row>
    <row r="204" spans="1:11">
      <c r="A204" t="s">
        <v>32</v>
      </c>
      <c r="B204" t="s">
        <v>41</v>
      </c>
      <c r="C204" s="1">
        <v>45505</v>
      </c>
      <c r="D204">
        <v>18</v>
      </c>
      <c r="E204">
        <v>12</v>
      </c>
      <c r="F204">
        <v>262.26</v>
      </c>
      <c r="G204">
        <v>1</v>
      </c>
      <c r="H204" s="2">
        <v>8.3333333333333329E-2</v>
      </c>
      <c r="I204">
        <v>1573.7</v>
      </c>
      <c r="J204">
        <v>3</v>
      </c>
      <c r="K204" s="2">
        <v>5.1299999999999998E-2</v>
      </c>
    </row>
    <row r="205" spans="1:11">
      <c r="A205" t="s">
        <v>33</v>
      </c>
      <c r="B205" t="s">
        <v>41</v>
      </c>
      <c r="C205" s="1">
        <v>45505</v>
      </c>
      <c r="D205">
        <v>106</v>
      </c>
      <c r="E205">
        <v>6</v>
      </c>
      <c r="F205">
        <v>572.16</v>
      </c>
      <c r="G205">
        <v>2</v>
      </c>
      <c r="H205" s="2">
        <v>0.33333333333333331</v>
      </c>
      <c r="I205">
        <v>3398.37</v>
      </c>
      <c r="J205">
        <v>2</v>
      </c>
      <c r="K205" s="2">
        <v>2.87E-2</v>
      </c>
    </row>
    <row r="206" spans="1:11">
      <c r="A206" t="s">
        <v>34</v>
      </c>
      <c r="B206" t="s">
        <v>41</v>
      </c>
      <c r="C206" s="1">
        <v>45505</v>
      </c>
      <c r="D206">
        <v>71</v>
      </c>
      <c r="E206">
        <v>9</v>
      </c>
      <c r="F206">
        <v>172.96</v>
      </c>
      <c r="G206">
        <v>6</v>
      </c>
      <c r="H206" s="2">
        <v>0.66666666666666663</v>
      </c>
      <c r="I206">
        <v>464.49</v>
      </c>
      <c r="J206">
        <v>1</v>
      </c>
      <c r="K206" s="2">
        <v>8.2699999999999996E-2</v>
      </c>
    </row>
    <row r="207" spans="1:11">
      <c r="A207" t="s">
        <v>35</v>
      </c>
      <c r="B207" t="s">
        <v>41</v>
      </c>
      <c r="C207" s="1">
        <v>45505</v>
      </c>
      <c r="D207">
        <v>115</v>
      </c>
      <c r="E207">
        <v>17</v>
      </c>
      <c r="F207">
        <v>422.48</v>
      </c>
      <c r="G207">
        <v>0</v>
      </c>
      <c r="H207" s="2">
        <v>0</v>
      </c>
      <c r="I207">
        <v>2681.51</v>
      </c>
      <c r="J207">
        <v>3</v>
      </c>
      <c r="K207" s="2">
        <v>2.5000000000000001E-2</v>
      </c>
    </row>
    <row r="208" spans="1:11">
      <c r="A208" t="s">
        <v>37</v>
      </c>
      <c r="B208" t="s">
        <v>41</v>
      </c>
      <c r="C208" s="1">
        <v>45505</v>
      </c>
      <c r="D208">
        <v>34</v>
      </c>
      <c r="E208">
        <v>10</v>
      </c>
      <c r="F208">
        <v>565.11</v>
      </c>
      <c r="G208">
        <v>5</v>
      </c>
      <c r="H208" s="2">
        <v>0.5</v>
      </c>
      <c r="I208">
        <v>222.62</v>
      </c>
      <c r="J208">
        <v>2</v>
      </c>
      <c r="K208" s="2">
        <v>7.1800000000000003E-2</v>
      </c>
    </row>
    <row r="209" spans="1:11">
      <c r="A209" t="s">
        <v>38</v>
      </c>
      <c r="B209" t="s">
        <v>41</v>
      </c>
      <c r="C209" s="1">
        <v>45505</v>
      </c>
      <c r="D209">
        <v>40</v>
      </c>
      <c r="E209">
        <v>17</v>
      </c>
      <c r="F209">
        <v>355.83</v>
      </c>
      <c r="G209">
        <v>6</v>
      </c>
      <c r="H209" s="2">
        <v>0.35294117647058826</v>
      </c>
      <c r="I209">
        <v>4155.8599999999997</v>
      </c>
      <c r="J209">
        <v>1</v>
      </c>
      <c r="K209" s="2">
        <v>8.8000000000000009E-2</v>
      </c>
    </row>
    <row r="210" spans="1:11">
      <c r="A210" t="s">
        <v>11</v>
      </c>
      <c r="B210" t="s">
        <v>41</v>
      </c>
      <c r="C210" s="1">
        <v>45536</v>
      </c>
      <c r="D210">
        <v>51</v>
      </c>
      <c r="E210">
        <v>15</v>
      </c>
      <c r="F210">
        <v>349.71</v>
      </c>
      <c r="G210">
        <v>8</v>
      </c>
      <c r="H210" s="2">
        <v>0.53333333333333333</v>
      </c>
      <c r="I210">
        <v>4017.54</v>
      </c>
      <c r="J210">
        <v>1</v>
      </c>
      <c r="K210" s="2">
        <v>2.92E-2</v>
      </c>
    </row>
    <row r="211" spans="1:11">
      <c r="A211" t="s">
        <v>13</v>
      </c>
      <c r="B211" t="s">
        <v>41</v>
      </c>
      <c r="C211" s="1">
        <v>45536</v>
      </c>
      <c r="D211">
        <v>79</v>
      </c>
      <c r="E211">
        <v>9</v>
      </c>
      <c r="F211">
        <v>358.67</v>
      </c>
      <c r="G211">
        <v>5</v>
      </c>
      <c r="H211" s="2">
        <v>0.55555555555555558</v>
      </c>
      <c r="I211">
        <v>3658.64</v>
      </c>
      <c r="J211">
        <v>3</v>
      </c>
      <c r="K211" s="2">
        <v>3.7499999999999999E-2</v>
      </c>
    </row>
    <row r="212" spans="1:11">
      <c r="A212" t="s">
        <v>14</v>
      </c>
      <c r="B212" t="s">
        <v>41</v>
      </c>
      <c r="C212" s="1">
        <v>45536</v>
      </c>
      <c r="D212">
        <v>57</v>
      </c>
      <c r="E212">
        <v>18</v>
      </c>
      <c r="F212">
        <v>403.41</v>
      </c>
      <c r="G212">
        <v>3</v>
      </c>
      <c r="H212" s="2">
        <v>0.16666666666666666</v>
      </c>
      <c r="I212">
        <v>3767.63</v>
      </c>
      <c r="J212">
        <v>2</v>
      </c>
      <c r="K212" s="2">
        <v>4.24E-2</v>
      </c>
    </row>
    <row r="213" spans="1:11">
      <c r="A213" t="s">
        <v>15</v>
      </c>
      <c r="B213" t="s">
        <v>41</v>
      </c>
      <c r="C213" s="1">
        <v>45536</v>
      </c>
      <c r="D213">
        <v>24</v>
      </c>
      <c r="E213">
        <v>7</v>
      </c>
      <c r="F213">
        <v>79.62</v>
      </c>
      <c r="G213">
        <v>4</v>
      </c>
      <c r="H213" s="2">
        <v>0.5714285714285714</v>
      </c>
      <c r="I213">
        <v>1650.69</v>
      </c>
      <c r="J213">
        <v>1</v>
      </c>
      <c r="K213" s="2">
        <v>3.0600000000000002E-2</v>
      </c>
    </row>
    <row r="214" spans="1:11">
      <c r="A214" t="s">
        <v>16</v>
      </c>
      <c r="B214" t="s">
        <v>41</v>
      </c>
      <c r="C214" s="1">
        <v>45536</v>
      </c>
      <c r="D214">
        <v>77</v>
      </c>
      <c r="E214">
        <v>11</v>
      </c>
      <c r="F214">
        <v>487.47</v>
      </c>
      <c r="G214">
        <v>4</v>
      </c>
      <c r="H214" s="2">
        <v>0.36363636363636365</v>
      </c>
      <c r="I214">
        <v>990.89</v>
      </c>
      <c r="J214">
        <v>3</v>
      </c>
      <c r="K214" s="2">
        <v>4.3299999999999998E-2</v>
      </c>
    </row>
    <row r="215" spans="1:11">
      <c r="A215" t="s">
        <v>17</v>
      </c>
      <c r="B215" t="s">
        <v>41</v>
      </c>
      <c r="C215" s="1">
        <v>45536</v>
      </c>
      <c r="D215">
        <v>69</v>
      </c>
      <c r="E215">
        <v>7</v>
      </c>
      <c r="F215">
        <v>549.77</v>
      </c>
      <c r="G215">
        <v>2</v>
      </c>
      <c r="H215" s="2">
        <v>0.2857142857142857</v>
      </c>
      <c r="I215">
        <v>3916.58</v>
      </c>
      <c r="J215">
        <v>2</v>
      </c>
      <c r="K215" s="2">
        <v>1.2E-2</v>
      </c>
    </row>
    <row r="216" spans="1:11">
      <c r="A216" t="s">
        <v>18</v>
      </c>
      <c r="B216" t="s">
        <v>41</v>
      </c>
      <c r="C216" s="1">
        <v>45536</v>
      </c>
      <c r="D216">
        <v>74</v>
      </c>
      <c r="E216">
        <v>18</v>
      </c>
      <c r="F216">
        <v>306.89999999999998</v>
      </c>
      <c r="G216">
        <v>3</v>
      </c>
      <c r="H216" s="2">
        <v>0.16666666666666666</v>
      </c>
      <c r="I216">
        <v>2254.16</v>
      </c>
      <c r="J216">
        <v>1</v>
      </c>
      <c r="K216" s="2">
        <v>9.64E-2</v>
      </c>
    </row>
    <row r="217" spans="1:11">
      <c r="A217" t="s">
        <v>19</v>
      </c>
      <c r="B217" t="s">
        <v>41</v>
      </c>
      <c r="C217" s="1">
        <v>45536</v>
      </c>
      <c r="D217">
        <v>57</v>
      </c>
      <c r="E217">
        <v>7</v>
      </c>
      <c r="F217">
        <v>262.27999999999997</v>
      </c>
      <c r="G217">
        <v>7</v>
      </c>
      <c r="H217" s="2">
        <v>1</v>
      </c>
      <c r="I217">
        <v>3929.11</v>
      </c>
      <c r="J217">
        <v>3</v>
      </c>
      <c r="K217" s="2">
        <v>4.4299999999999999E-2</v>
      </c>
    </row>
    <row r="218" spans="1:11">
      <c r="A218" t="s">
        <v>20</v>
      </c>
      <c r="B218" t="s">
        <v>41</v>
      </c>
      <c r="C218" s="1">
        <v>45536</v>
      </c>
      <c r="D218">
        <v>26</v>
      </c>
      <c r="E218">
        <v>21</v>
      </c>
      <c r="F218">
        <v>359.51</v>
      </c>
      <c r="G218">
        <v>9</v>
      </c>
      <c r="H218" s="2">
        <v>0.42857142857142855</v>
      </c>
      <c r="I218">
        <v>1187.3699999999999</v>
      </c>
      <c r="J218">
        <v>2</v>
      </c>
      <c r="K218" s="2">
        <v>5.33E-2</v>
      </c>
    </row>
    <row r="219" spans="1:11">
      <c r="A219" t="s">
        <v>21</v>
      </c>
      <c r="B219" t="s">
        <v>41</v>
      </c>
      <c r="C219" s="1">
        <v>45536</v>
      </c>
      <c r="D219">
        <v>76</v>
      </c>
      <c r="E219">
        <v>18</v>
      </c>
      <c r="F219">
        <v>339.1</v>
      </c>
      <c r="G219">
        <v>8</v>
      </c>
      <c r="H219" s="2">
        <v>0.44444444444444442</v>
      </c>
      <c r="I219">
        <v>924.79</v>
      </c>
      <c r="J219">
        <v>1</v>
      </c>
      <c r="K219" s="2">
        <v>3.6000000000000004E-2</v>
      </c>
    </row>
    <row r="220" spans="1:11">
      <c r="A220" t="s">
        <v>22</v>
      </c>
      <c r="B220" t="s">
        <v>41</v>
      </c>
      <c r="C220" s="1">
        <v>45536</v>
      </c>
      <c r="D220">
        <v>22</v>
      </c>
      <c r="E220">
        <v>7</v>
      </c>
      <c r="F220">
        <v>182.47</v>
      </c>
      <c r="G220">
        <v>7</v>
      </c>
      <c r="H220" s="2">
        <v>1</v>
      </c>
      <c r="I220">
        <v>779.86</v>
      </c>
      <c r="J220">
        <v>3</v>
      </c>
      <c r="K220" s="2">
        <v>7.2700000000000001E-2</v>
      </c>
    </row>
    <row r="221" spans="1:11">
      <c r="A221" t="s">
        <v>23</v>
      </c>
      <c r="B221" t="s">
        <v>41</v>
      </c>
      <c r="C221" s="1">
        <v>45536</v>
      </c>
      <c r="D221">
        <v>38</v>
      </c>
      <c r="E221">
        <v>6</v>
      </c>
      <c r="F221">
        <v>553.89</v>
      </c>
      <c r="G221">
        <v>6</v>
      </c>
      <c r="H221" s="2">
        <v>1</v>
      </c>
      <c r="I221">
        <v>4013.79</v>
      </c>
      <c r="J221">
        <v>2</v>
      </c>
      <c r="K221" s="2">
        <v>4.3200000000000002E-2</v>
      </c>
    </row>
    <row r="222" spans="1:11">
      <c r="A222" t="s">
        <v>24</v>
      </c>
      <c r="B222" t="s">
        <v>41</v>
      </c>
      <c r="C222" s="1">
        <v>45536</v>
      </c>
      <c r="D222">
        <v>87</v>
      </c>
      <c r="E222">
        <v>21</v>
      </c>
      <c r="F222">
        <v>633.13</v>
      </c>
      <c r="G222">
        <v>2</v>
      </c>
      <c r="H222" s="2">
        <v>9.5238095238095233E-2</v>
      </c>
      <c r="I222">
        <v>336.22</v>
      </c>
      <c r="J222">
        <v>1</v>
      </c>
      <c r="K222" s="2">
        <v>3.4500000000000003E-2</v>
      </c>
    </row>
    <row r="223" spans="1:11">
      <c r="A223" t="s">
        <v>25</v>
      </c>
      <c r="B223" t="s">
        <v>41</v>
      </c>
      <c r="C223" s="1">
        <v>45536</v>
      </c>
      <c r="D223">
        <v>37</v>
      </c>
      <c r="E223">
        <v>8</v>
      </c>
      <c r="F223">
        <v>215.09</v>
      </c>
      <c r="G223">
        <v>2</v>
      </c>
      <c r="H223" s="2">
        <v>0.25</v>
      </c>
      <c r="I223">
        <v>3424.83</v>
      </c>
      <c r="J223">
        <v>3</v>
      </c>
      <c r="K223" s="2">
        <v>4.07E-2</v>
      </c>
    </row>
    <row r="224" spans="1:11">
      <c r="A224" t="s">
        <v>26</v>
      </c>
      <c r="B224" t="s">
        <v>41</v>
      </c>
      <c r="C224" s="1">
        <v>45536</v>
      </c>
      <c r="D224">
        <v>71</v>
      </c>
      <c r="E224">
        <v>8</v>
      </c>
      <c r="F224">
        <v>199.19</v>
      </c>
      <c r="G224">
        <v>2</v>
      </c>
      <c r="H224" s="2">
        <v>0.25</v>
      </c>
      <c r="I224">
        <v>635.24</v>
      </c>
      <c r="J224">
        <v>2</v>
      </c>
      <c r="K224" s="2">
        <v>2.9500000000000002E-2</v>
      </c>
    </row>
    <row r="225" spans="1:11">
      <c r="A225" t="s">
        <v>27</v>
      </c>
      <c r="B225" t="s">
        <v>41</v>
      </c>
      <c r="C225" s="1">
        <v>45536</v>
      </c>
      <c r="D225">
        <v>81</v>
      </c>
      <c r="E225">
        <v>5</v>
      </c>
      <c r="F225">
        <v>153.5</v>
      </c>
      <c r="G225">
        <v>2</v>
      </c>
      <c r="H225" s="2">
        <v>0.4</v>
      </c>
      <c r="I225">
        <v>1307.47</v>
      </c>
      <c r="J225">
        <v>1</v>
      </c>
      <c r="K225" s="2">
        <v>7.3300000000000004E-2</v>
      </c>
    </row>
    <row r="226" spans="1:11">
      <c r="A226" t="s">
        <v>28</v>
      </c>
      <c r="B226" t="s">
        <v>41</v>
      </c>
      <c r="C226" s="1">
        <v>45536</v>
      </c>
      <c r="D226">
        <v>93</v>
      </c>
      <c r="E226">
        <v>5</v>
      </c>
      <c r="F226">
        <v>77.12</v>
      </c>
      <c r="G226">
        <v>2</v>
      </c>
      <c r="H226" s="2">
        <v>0.4</v>
      </c>
      <c r="I226">
        <v>3483.91</v>
      </c>
      <c r="J226">
        <v>3</v>
      </c>
      <c r="K226" s="2">
        <v>9.9000000000000005E-2</v>
      </c>
    </row>
    <row r="227" spans="1:11">
      <c r="A227" t="s">
        <v>29</v>
      </c>
      <c r="B227" t="s">
        <v>41</v>
      </c>
      <c r="C227" s="1">
        <v>45536</v>
      </c>
      <c r="D227">
        <v>21</v>
      </c>
      <c r="E227">
        <v>17</v>
      </c>
      <c r="F227">
        <v>533.41999999999996</v>
      </c>
      <c r="G227">
        <v>7</v>
      </c>
      <c r="H227" s="2">
        <v>0.41176470588235292</v>
      </c>
      <c r="I227">
        <v>3895.32</v>
      </c>
      <c r="J227">
        <v>2</v>
      </c>
      <c r="K227" s="2">
        <v>3.4000000000000002E-2</v>
      </c>
    </row>
    <row r="228" spans="1:11">
      <c r="A228" t="s">
        <v>30</v>
      </c>
      <c r="B228" t="s">
        <v>41</v>
      </c>
      <c r="C228" s="1">
        <v>45536</v>
      </c>
      <c r="D228">
        <v>86</v>
      </c>
      <c r="E228">
        <v>17</v>
      </c>
      <c r="F228">
        <v>160.88999999999999</v>
      </c>
      <c r="G228">
        <v>4</v>
      </c>
      <c r="H228" s="2">
        <v>0.23529411764705882</v>
      </c>
      <c r="I228">
        <v>418.33</v>
      </c>
      <c r="J228">
        <v>1</v>
      </c>
      <c r="K228" s="2">
        <v>8.8100000000000012E-2</v>
      </c>
    </row>
    <row r="229" spans="1:11">
      <c r="A229" t="s">
        <v>31</v>
      </c>
      <c r="B229" t="s">
        <v>41</v>
      </c>
      <c r="C229" s="1">
        <v>45536</v>
      </c>
      <c r="D229">
        <v>72</v>
      </c>
      <c r="E229">
        <v>11</v>
      </c>
      <c r="F229">
        <v>459.86</v>
      </c>
      <c r="G229">
        <v>0</v>
      </c>
      <c r="H229" s="2">
        <v>0</v>
      </c>
      <c r="I229">
        <v>1269.5999999999999</v>
      </c>
      <c r="J229">
        <v>3</v>
      </c>
      <c r="K229" s="2">
        <v>1E-3</v>
      </c>
    </row>
    <row r="230" spans="1:11">
      <c r="A230" t="s">
        <v>32</v>
      </c>
      <c r="B230" t="s">
        <v>41</v>
      </c>
      <c r="C230" s="1">
        <v>45536</v>
      </c>
      <c r="D230">
        <v>18</v>
      </c>
      <c r="E230">
        <v>13</v>
      </c>
      <c r="F230">
        <v>290.14</v>
      </c>
      <c r="G230">
        <v>2</v>
      </c>
      <c r="H230" s="2">
        <v>0.15384615384615385</v>
      </c>
      <c r="I230">
        <v>1444.65</v>
      </c>
      <c r="J230">
        <v>2</v>
      </c>
      <c r="K230" s="2">
        <v>5.4699999999999999E-2</v>
      </c>
    </row>
    <row r="231" spans="1:11">
      <c r="A231" t="s">
        <v>33</v>
      </c>
      <c r="B231" t="s">
        <v>41</v>
      </c>
      <c r="C231" s="1">
        <v>45536</v>
      </c>
      <c r="D231">
        <v>105</v>
      </c>
      <c r="E231">
        <v>7</v>
      </c>
      <c r="F231">
        <v>587.83000000000004</v>
      </c>
      <c r="G231">
        <v>1</v>
      </c>
      <c r="H231" s="2">
        <v>0.14285714285714285</v>
      </c>
      <c r="I231">
        <v>3601.93</v>
      </c>
      <c r="J231">
        <v>1</v>
      </c>
      <c r="K231" s="2">
        <v>3.2199999999999999E-2</v>
      </c>
    </row>
    <row r="232" spans="1:11">
      <c r="A232" t="s">
        <v>34</v>
      </c>
      <c r="B232" t="s">
        <v>41</v>
      </c>
      <c r="C232" s="1">
        <v>45536</v>
      </c>
      <c r="D232">
        <v>75</v>
      </c>
      <c r="E232">
        <v>8</v>
      </c>
      <c r="F232">
        <v>177.88</v>
      </c>
      <c r="G232">
        <v>7</v>
      </c>
      <c r="H232" s="2">
        <v>0.875</v>
      </c>
      <c r="I232">
        <v>507.1</v>
      </c>
      <c r="J232">
        <v>3</v>
      </c>
      <c r="K232" s="2">
        <v>9.5199999999999993E-2</v>
      </c>
    </row>
    <row r="233" spans="1:11">
      <c r="A233" t="s">
        <v>35</v>
      </c>
      <c r="B233" t="s">
        <v>41</v>
      </c>
      <c r="C233" s="1">
        <v>45536</v>
      </c>
      <c r="D233">
        <v>98</v>
      </c>
      <c r="E233">
        <v>12</v>
      </c>
      <c r="F233">
        <v>406.95</v>
      </c>
      <c r="G233">
        <v>0</v>
      </c>
      <c r="H233" s="2">
        <v>0</v>
      </c>
      <c r="I233">
        <v>2978.09</v>
      </c>
      <c r="J233">
        <v>2</v>
      </c>
      <c r="K233" s="2">
        <v>2.3700000000000002E-2</v>
      </c>
    </row>
    <row r="234" spans="1:11">
      <c r="A234" t="s">
        <v>37</v>
      </c>
      <c r="B234" t="s">
        <v>41</v>
      </c>
      <c r="C234" s="1">
        <v>45536</v>
      </c>
      <c r="D234">
        <v>33</v>
      </c>
      <c r="E234">
        <v>13</v>
      </c>
      <c r="F234">
        <v>517.1</v>
      </c>
      <c r="G234">
        <v>4</v>
      </c>
      <c r="H234" s="2">
        <v>0.30769230769230771</v>
      </c>
      <c r="I234">
        <v>250.08</v>
      </c>
      <c r="J234">
        <v>1</v>
      </c>
      <c r="K234" s="2">
        <v>6.5299999999999997E-2</v>
      </c>
    </row>
    <row r="235" spans="1:11">
      <c r="A235" t="s">
        <v>38</v>
      </c>
      <c r="B235" t="s">
        <v>41</v>
      </c>
      <c r="C235" s="1">
        <v>45536</v>
      </c>
      <c r="D235">
        <v>35</v>
      </c>
      <c r="E235">
        <v>18</v>
      </c>
      <c r="F235">
        <v>348.92</v>
      </c>
      <c r="G235">
        <v>7</v>
      </c>
      <c r="H235" s="2">
        <v>0.3888888888888889</v>
      </c>
      <c r="I235">
        <v>4381.3900000000003</v>
      </c>
      <c r="J235">
        <v>1</v>
      </c>
      <c r="K235" s="2">
        <v>8.8599999999999998E-2</v>
      </c>
    </row>
    <row r="236" spans="1:11">
      <c r="A236" t="s">
        <v>11</v>
      </c>
      <c r="B236" t="s">
        <v>41</v>
      </c>
      <c r="C236" s="1">
        <v>45566</v>
      </c>
      <c r="D236">
        <v>74</v>
      </c>
      <c r="E236">
        <v>16</v>
      </c>
      <c r="F236">
        <v>308.51</v>
      </c>
      <c r="G236">
        <v>7</v>
      </c>
      <c r="H236" s="2">
        <v>0.4375</v>
      </c>
      <c r="I236">
        <v>4267.5</v>
      </c>
      <c r="J236">
        <v>3</v>
      </c>
      <c r="K236" s="2">
        <v>2.9399999999999999E-2</v>
      </c>
    </row>
    <row r="237" spans="1:11">
      <c r="A237" t="s">
        <v>13</v>
      </c>
      <c r="B237" t="s">
        <v>41</v>
      </c>
      <c r="C237" s="1">
        <v>45566</v>
      </c>
      <c r="D237">
        <v>72</v>
      </c>
      <c r="E237">
        <v>10</v>
      </c>
      <c r="F237">
        <v>362.58</v>
      </c>
      <c r="G237">
        <v>5</v>
      </c>
      <c r="H237" s="2">
        <v>0.5</v>
      </c>
      <c r="I237">
        <v>3679.65</v>
      </c>
      <c r="J237">
        <v>2</v>
      </c>
      <c r="K237" s="2">
        <v>3.8599999999999995E-2</v>
      </c>
    </row>
    <row r="238" spans="1:11">
      <c r="A238" t="s">
        <v>14</v>
      </c>
      <c r="B238" t="s">
        <v>41</v>
      </c>
      <c r="C238" s="1">
        <v>45566</v>
      </c>
      <c r="D238">
        <v>58</v>
      </c>
      <c r="E238">
        <v>13</v>
      </c>
      <c r="F238">
        <v>368.06</v>
      </c>
      <c r="G238">
        <v>2</v>
      </c>
      <c r="H238" s="2">
        <v>0.15384615384615385</v>
      </c>
      <c r="I238">
        <v>3626.22</v>
      </c>
      <c r="J238">
        <v>1</v>
      </c>
      <c r="K238" s="2">
        <v>4.1399999999999999E-2</v>
      </c>
    </row>
    <row r="239" spans="1:11">
      <c r="A239" t="s">
        <v>15</v>
      </c>
      <c r="B239" t="s">
        <v>41</v>
      </c>
      <c r="C239" s="1">
        <v>45566</v>
      </c>
      <c r="D239">
        <v>22</v>
      </c>
      <c r="E239">
        <v>7</v>
      </c>
      <c r="F239">
        <v>74.680000000000007</v>
      </c>
      <c r="G239">
        <v>4</v>
      </c>
      <c r="H239" s="2">
        <v>0.5714285714285714</v>
      </c>
      <c r="I239">
        <v>1543.72</v>
      </c>
      <c r="J239">
        <v>3</v>
      </c>
      <c r="K239" s="2">
        <v>2.75E-2</v>
      </c>
    </row>
    <row r="240" spans="1:11">
      <c r="A240" t="s">
        <v>16</v>
      </c>
      <c r="B240" t="s">
        <v>41</v>
      </c>
      <c r="C240" s="1">
        <v>45566</v>
      </c>
      <c r="D240">
        <v>74</v>
      </c>
      <c r="E240">
        <v>15</v>
      </c>
      <c r="F240">
        <v>460.2</v>
      </c>
      <c r="G240">
        <v>4</v>
      </c>
      <c r="H240" s="2">
        <v>0.26666666666666666</v>
      </c>
      <c r="I240">
        <v>980.1</v>
      </c>
      <c r="J240">
        <v>2</v>
      </c>
      <c r="K240" s="2">
        <v>3.7900000000000003E-2</v>
      </c>
    </row>
    <row r="241" spans="1:11">
      <c r="A241" t="s">
        <v>17</v>
      </c>
      <c r="B241" t="s">
        <v>41</v>
      </c>
      <c r="C241" s="1">
        <v>45566</v>
      </c>
      <c r="D241">
        <v>62</v>
      </c>
      <c r="E241">
        <v>8</v>
      </c>
      <c r="F241">
        <v>540.79999999999995</v>
      </c>
      <c r="G241">
        <v>3</v>
      </c>
      <c r="H241" s="2">
        <v>0.375</v>
      </c>
      <c r="I241">
        <v>3928.71</v>
      </c>
      <c r="J241">
        <v>1</v>
      </c>
      <c r="K241" s="2">
        <v>1.09E-2</v>
      </c>
    </row>
    <row r="242" spans="1:11">
      <c r="A242" t="s">
        <v>18</v>
      </c>
      <c r="B242" t="s">
        <v>41</v>
      </c>
      <c r="C242" s="1">
        <v>45566</v>
      </c>
      <c r="D242">
        <v>70</v>
      </c>
      <c r="E242">
        <v>21</v>
      </c>
      <c r="F242">
        <v>319.62</v>
      </c>
      <c r="G242">
        <v>3</v>
      </c>
      <c r="H242" s="2">
        <v>0.14285714285714285</v>
      </c>
      <c r="I242">
        <v>2486.2199999999998</v>
      </c>
      <c r="J242">
        <v>3</v>
      </c>
      <c r="K242" s="2">
        <v>0.1036</v>
      </c>
    </row>
    <row r="243" spans="1:11">
      <c r="A243" t="s">
        <v>19</v>
      </c>
      <c r="B243" t="s">
        <v>41</v>
      </c>
      <c r="C243" s="1">
        <v>45566</v>
      </c>
      <c r="D243">
        <v>51</v>
      </c>
      <c r="E243">
        <v>7</v>
      </c>
      <c r="F243">
        <v>248.37</v>
      </c>
      <c r="G243">
        <v>7</v>
      </c>
      <c r="H243" s="2">
        <v>1</v>
      </c>
      <c r="I243">
        <v>3946.23</v>
      </c>
      <c r="J243">
        <v>2</v>
      </c>
      <c r="K243" s="2">
        <v>4.2699999999999995E-2</v>
      </c>
    </row>
    <row r="244" spans="1:11">
      <c r="A244" t="s">
        <v>20</v>
      </c>
      <c r="B244" t="s">
        <v>41</v>
      </c>
      <c r="C244" s="1">
        <v>45566</v>
      </c>
      <c r="D244">
        <v>32</v>
      </c>
      <c r="E244">
        <v>16</v>
      </c>
      <c r="F244">
        <v>393.04</v>
      </c>
      <c r="G244">
        <v>7</v>
      </c>
      <c r="H244" s="2">
        <v>0.4375</v>
      </c>
      <c r="I244">
        <v>1286.18</v>
      </c>
      <c r="J244">
        <v>1</v>
      </c>
      <c r="K244" s="2">
        <v>5.6399999999999999E-2</v>
      </c>
    </row>
    <row r="245" spans="1:11">
      <c r="A245" t="s">
        <v>21</v>
      </c>
      <c r="B245" t="s">
        <v>41</v>
      </c>
      <c r="C245" s="1">
        <v>45566</v>
      </c>
      <c r="D245">
        <v>71</v>
      </c>
      <c r="E245">
        <v>16</v>
      </c>
      <c r="F245">
        <v>323.56</v>
      </c>
      <c r="G245">
        <v>9</v>
      </c>
      <c r="H245" s="2">
        <v>0.5625</v>
      </c>
      <c r="I245">
        <v>957.05</v>
      </c>
      <c r="J245">
        <v>3</v>
      </c>
      <c r="K245" s="2">
        <v>3.1099999999999999E-2</v>
      </c>
    </row>
    <row r="246" spans="1:11">
      <c r="A246" t="s">
        <v>22</v>
      </c>
      <c r="B246" t="s">
        <v>41</v>
      </c>
      <c r="C246" s="1">
        <v>45566</v>
      </c>
      <c r="D246">
        <v>17</v>
      </c>
      <c r="E246">
        <v>7</v>
      </c>
      <c r="F246">
        <v>205.3</v>
      </c>
      <c r="G246">
        <v>4</v>
      </c>
      <c r="H246" s="2">
        <v>0.5714285714285714</v>
      </c>
      <c r="I246">
        <v>762.2</v>
      </c>
      <c r="J246">
        <v>2</v>
      </c>
      <c r="K246" s="2">
        <v>7.2300000000000003E-2</v>
      </c>
    </row>
    <row r="247" spans="1:11">
      <c r="A247" t="s">
        <v>23</v>
      </c>
      <c r="B247" t="s">
        <v>41</v>
      </c>
      <c r="C247" s="1">
        <v>45566</v>
      </c>
      <c r="D247">
        <v>35</v>
      </c>
      <c r="E247">
        <v>6</v>
      </c>
      <c r="F247">
        <v>544.78</v>
      </c>
      <c r="G247">
        <v>5</v>
      </c>
      <c r="H247" s="2">
        <v>0.83333333333333337</v>
      </c>
      <c r="I247">
        <v>3420.99</v>
      </c>
      <c r="J247">
        <v>3</v>
      </c>
      <c r="K247" s="2">
        <v>4.0500000000000001E-2</v>
      </c>
    </row>
    <row r="248" spans="1:11">
      <c r="A248" t="s">
        <v>24</v>
      </c>
      <c r="B248" t="s">
        <v>41</v>
      </c>
      <c r="C248" s="1">
        <v>45566</v>
      </c>
      <c r="D248">
        <v>73</v>
      </c>
      <c r="E248">
        <v>17</v>
      </c>
      <c r="F248">
        <v>557.29999999999995</v>
      </c>
      <c r="G248">
        <v>3</v>
      </c>
      <c r="H248" s="2">
        <v>0.17647058823529413</v>
      </c>
      <c r="I248">
        <v>376.66</v>
      </c>
      <c r="J248">
        <v>2</v>
      </c>
      <c r="K248" s="2">
        <v>3.4700000000000002E-2</v>
      </c>
    </row>
    <row r="249" spans="1:11">
      <c r="A249" t="s">
        <v>25</v>
      </c>
      <c r="B249" t="s">
        <v>41</v>
      </c>
      <c r="C249" s="1">
        <v>45566</v>
      </c>
      <c r="D249">
        <v>27</v>
      </c>
      <c r="E249">
        <v>6</v>
      </c>
      <c r="F249">
        <v>202.37</v>
      </c>
      <c r="G249">
        <v>1</v>
      </c>
      <c r="H249" s="2">
        <v>0.16666666666666666</v>
      </c>
      <c r="I249">
        <v>3781.81</v>
      </c>
      <c r="J249">
        <v>1</v>
      </c>
      <c r="K249" s="2">
        <v>4.3099999999999999E-2</v>
      </c>
    </row>
    <row r="250" spans="1:11">
      <c r="A250" t="s">
        <v>26</v>
      </c>
      <c r="B250" t="s">
        <v>41</v>
      </c>
      <c r="C250" s="1">
        <v>45566</v>
      </c>
      <c r="D250">
        <v>49</v>
      </c>
      <c r="E250">
        <v>7</v>
      </c>
      <c r="F250">
        <v>204.14</v>
      </c>
      <c r="G250">
        <v>3</v>
      </c>
      <c r="H250" s="2">
        <v>0.42857142857142855</v>
      </c>
      <c r="I250">
        <v>636.65</v>
      </c>
      <c r="J250">
        <v>3</v>
      </c>
      <c r="K250" s="2">
        <v>2.9500000000000002E-2</v>
      </c>
    </row>
    <row r="251" spans="1:11">
      <c r="A251" t="s">
        <v>27</v>
      </c>
      <c r="B251" t="s">
        <v>41</v>
      </c>
      <c r="C251" s="1">
        <v>45566</v>
      </c>
      <c r="D251">
        <v>106</v>
      </c>
      <c r="E251">
        <v>5</v>
      </c>
      <c r="F251">
        <v>163.38</v>
      </c>
      <c r="G251">
        <v>1</v>
      </c>
      <c r="H251" s="2">
        <v>0.2</v>
      </c>
      <c r="I251">
        <v>1148.1400000000001</v>
      </c>
      <c r="J251">
        <v>2</v>
      </c>
      <c r="K251" s="2">
        <v>7.8799999999999995E-2</v>
      </c>
    </row>
    <row r="252" spans="1:11">
      <c r="A252" t="s">
        <v>28</v>
      </c>
      <c r="B252" t="s">
        <v>41</v>
      </c>
      <c r="C252" s="1">
        <v>45566</v>
      </c>
      <c r="D252">
        <v>102</v>
      </c>
      <c r="E252">
        <v>5</v>
      </c>
      <c r="F252">
        <v>86.37</v>
      </c>
      <c r="G252">
        <v>5</v>
      </c>
      <c r="H252" s="2">
        <v>1</v>
      </c>
      <c r="I252">
        <v>3851.19</v>
      </c>
      <c r="J252">
        <v>1</v>
      </c>
      <c r="K252" s="2">
        <v>8.3800000000000013E-2</v>
      </c>
    </row>
    <row r="253" spans="1:11">
      <c r="A253" t="s">
        <v>29</v>
      </c>
      <c r="B253" t="s">
        <v>41</v>
      </c>
      <c r="C253" s="1">
        <v>45566</v>
      </c>
      <c r="D253">
        <v>21</v>
      </c>
      <c r="E253">
        <v>14</v>
      </c>
      <c r="F253">
        <v>537.36</v>
      </c>
      <c r="G253">
        <v>7</v>
      </c>
      <c r="H253" s="2">
        <v>0.5</v>
      </c>
      <c r="I253">
        <v>3767.78</v>
      </c>
      <c r="J253">
        <v>3</v>
      </c>
      <c r="K253" s="2">
        <v>3.44E-2</v>
      </c>
    </row>
    <row r="254" spans="1:11">
      <c r="A254" t="s">
        <v>30</v>
      </c>
      <c r="B254" t="s">
        <v>41</v>
      </c>
      <c r="C254" s="1">
        <v>45566</v>
      </c>
      <c r="D254">
        <v>104</v>
      </c>
      <c r="E254">
        <v>20</v>
      </c>
      <c r="F254">
        <v>181.9</v>
      </c>
      <c r="G254">
        <v>4</v>
      </c>
      <c r="H254" s="2">
        <v>0.2</v>
      </c>
      <c r="I254">
        <v>400.92</v>
      </c>
      <c r="J254">
        <v>2</v>
      </c>
      <c r="K254" s="2">
        <v>0.10009999999999999</v>
      </c>
    </row>
    <row r="255" spans="1:11">
      <c r="A255" t="s">
        <v>31</v>
      </c>
      <c r="B255" t="s">
        <v>41</v>
      </c>
      <c r="C255" s="1">
        <v>45566</v>
      </c>
      <c r="D255">
        <v>64</v>
      </c>
      <c r="E255">
        <v>15</v>
      </c>
      <c r="F255">
        <v>514.38</v>
      </c>
      <c r="G255">
        <v>0</v>
      </c>
      <c r="H255" s="2">
        <v>0</v>
      </c>
      <c r="I255">
        <v>1220.5899999999999</v>
      </c>
      <c r="J255">
        <v>1</v>
      </c>
      <c r="K255" s="2">
        <v>1E-3</v>
      </c>
    </row>
    <row r="256" spans="1:11">
      <c r="A256" t="s">
        <v>32</v>
      </c>
      <c r="B256" t="s">
        <v>41</v>
      </c>
      <c r="C256" s="1">
        <v>45566</v>
      </c>
      <c r="D256">
        <v>21</v>
      </c>
      <c r="E256">
        <v>15</v>
      </c>
      <c r="F256">
        <v>309.75</v>
      </c>
      <c r="G256">
        <v>2</v>
      </c>
      <c r="H256" s="2">
        <v>0.13333333333333333</v>
      </c>
      <c r="I256">
        <v>1649.09</v>
      </c>
      <c r="J256">
        <v>3</v>
      </c>
      <c r="K256" s="2">
        <v>5.0999999999999997E-2</v>
      </c>
    </row>
    <row r="257" spans="1:11">
      <c r="A257" t="s">
        <v>33</v>
      </c>
      <c r="B257" t="s">
        <v>41</v>
      </c>
      <c r="C257" s="1">
        <v>45566</v>
      </c>
      <c r="D257">
        <v>108</v>
      </c>
      <c r="E257">
        <v>6</v>
      </c>
      <c r="F257">
        <v>515.27</v>
      </c>
      <c r="G257">
        <v>2</v>
      </c>
      <c r="H257" s="2">
        <v>0.33333333333333331</v>
      </c>
      <c r="I257">
        <v>3183.87</v>
      </c>
      <c r="J257">
        <v>2</v>
      </c>
      <c r="K257" s="2">
        <v>3.04E-2</v>
      </c>
    </row>
    <row r="258" spans="1:11">
      <c r="A258" t="s">
        <v>34</v>
      </c>
      <c r="B258" t="s">
        <v>41</v>
      </c>
      <c r="C258" s="1">
        <v>45566</v>
      </c>
      <c r="D258">
        <v>63</v>
      </c>
      <c r="E258">
        <v>10</v>
      </c>
      <c r="F258">
        <v>194.21</v>
      </c>
      <c r="G258">
        <v>7</v>
      </c>
      <c r="H258" s="2">
        <v>0.7</v>
      </c>
      <c r="I258">
        <v>508.84</v>
      </c>
      <c r="J258">
        <v>1</v>
      </c>
      <c r="K258" s="2">
        <v>9.3900000000000011E-2</v>
      </c>
    </row>
    <row r="259" spans="1:11">
      <c r="A259" t="s">
        <v>35</v>
      </c>
      <c r="B259" t="s">
        <v>41</v>
      </c>
      <c r="C259" s="1">
        <v>45566</v>
      </c>
      <c r="D259">
        <v>85</v>
      </c>
      <c r="E259">
        <v>15</v>
      </c>
      <c r="F259">
        <v>400.65</v>
      </c>
      <c r="G259">
        <v>0</v>
      </c>
      <c r="H259" s="2">
        <v>0</v>
      </c>
      <c r="I259">
        <v>2890.62</v>
      </c>
      <c r="J259">
        <v>1</v>
      </c>
      <c r="K259" s="2">
        <v>2.4700000000000003E-2</v>
      </c>
    </row>
    <row r="260" spans="1:11">
      <c r="A260" t="s">
        <v>37</v>
      </c>
      <c r="B260" t="s">
        <v>41</v>
      </c>
      <c r="C260" s="1">
        <v>45566</v>
      </c>
      <c r="D260">
        <v>36</v>
      </c>
      <c r="E260">
        <v>10</v>
      </c>
      <c r="F260">
        <v>535.44000000000005</v>
      </c>
      <c r="G260">
        <v>4</v>
      </c>
      <c r="H260" s="2">
        <v>0.4</v>
      </c>
      <c r="I260">
        <v>241.26</v>
      </c>
      <c r="J260">
        <v>3</v>
      </c>
      <c r="K260" s="2">
        <v>6.3E-2</v>
      </c>
    </row>
    <row r="261" spans="1:11">
      <c r="A261" t="s">
        <v>38</v>
      </c>
      <c r="B261" t="s">
        <v>41</v>
      </c>
      <c r="C261" s="1">
        <v>45566</v>
      </c>
      <c r="D261">
        <v>34</v>
      </c>
      <c r="E261">
        <v>12</v>
      </c>
      <c r="F261">
        <v>356.4</v>
      </c>
      <c r="G261">
        <v>8</v>
      </c>
      <c r="H261" s="2">
        <v>0.66666666666666663</v>
      </c>
      <c r="I261">
        <v>4111.76</v>
      </c>
      <c r="J261">
        <v>2</v>
      </c>
      <c r="K261" s="2">
        <v>8.4700000000000011E-2</v>
      </c>
    </row>
    <row r="262" spans="1:11">
      <c r="A262" t="s">
        <v>11</v>
      </c>
      <c r="B262" t="s">
        <v>41</v>
      </c>
      <c r="C262" s="1">
        <v>45597</v>
      </c>
      <c r="D262">
        <v>67</v>
      </c>
      <c r="E262">
        <v>12</v>
      </c>
      <c r="F262">
        <v>352.6</v>
      </c>
      <c r="G262">
        <v>6</v>
      </c>
      <c r="H262" s="2">
        <v>0.5</v>
      </c>
      <c r="I262">
        <v>4402.41</v>
      </c>
      <c r="J262">
        <v>1</v>
      </c>
      <c r="K262" s="2">
        <v>2.8999999999999998E-2</v>
      </c>
    </row>
    <row r="263" spans="1:11">
      <c r="A263" t="s">
        <v>13</v>
      </c>
      <c r="B263" t="s">
        <v>41</v>
      </c>
      <c r="C263" s="1">
        <v>45597</v>
      </c>
      <c r="D263">
        <v>76</v>
      </c>
      <c r="E263">
        <v>14</v>
      </c>
      <c r="F263">
        <v>351.42</v>
      </c>
      <c r="G263">
        <v>4</v>
      </c>
      <c r="H263" s="2">
        <v>0.2857142857142857</v>
      </c>
      <c r="I263">
        <v>3917.99</v>
      </c>
      <c r="J263">
        <v>3</v>
      </c>
      <c r="K263" s="2">
        <v>4.2999999999999997E-2</v>
      </c>
    </row>
    <row r="264" spans="1:11">
      <c r="A264" t="s">
        <v>14</v>
      </c>
      <c r="B264" t="s">
        <v>41</v>
      </c>
      <c r="C264" s="1">
        <v>45597</v>
      </c>
      <c r="D264">
        <v>53</v>
      </c>
      <c r="E264">
        <v>17</v>
      </c>
      <c r="F264">
        <v>404.22</v>
      </c>
      <c r="G264">
        <v>2</v>
      </c>
      <c r="H264" s="2">
        <v>0.11764705882352941</v>
      </c>
      <c r="I264">
        <v>3669.4</v>
      </c>
      <c r="J264">
        <v>2</v>
      </c>
      <c r="K264" s="2">
        <v>4.4500000000000005E-2</v>
      </c>
    </row>
    <row r="265" spans="1:11">
      <c r="A265" t="s">
        <v>15</v>
      </c>
      <c r="B265" t="s">
        <v>41</v>
      </c>
      <c r="C265" s="1">
        <v>45597</v>
      </c>
      <c r="D265">
        <v>22</v>
      </c>
      <c r="E265">
        <v>6</v>
      </c>
      <c r="F265">
        <v>80.02</v>
      </c>
      <c r="G265">
        <v>3</v>
      </c>
      <c r="H265" s="2">
        <v>0.5</v>
      </c>
      <c r="I265">
        <v>1476.69</v>
      </c>
      <c r="J265">
        <v>1</v>
      </c>
      <c r="K265" s="2">
        <v>2.9300000000000003E-2</v>
      </c>
    </row>
    <row r="266" spans="1:11">
      <c r="A266" t="s">
        <v>16</v>
      </c>
      <c r="B266" t="s">
        <v>41</v>
      </c>
      <c r="C266" s="1">
        <v>45597</v>
      </c>
      <c r="D266">
        <v>77</v>
      </c>
      <c r="E266">
        <v>16</v>
      </c>
      <c r="F266">
        <v>502.41</v>
      </c>
      <c r="G266">
        <v>5</v>
      </c>
      <c r="H266" s="2">
        <v>0.3125</v>
      </c>
      <c r="I266">
        <v>1093.75</v>
      </c>
      <c r="J266">
        <v>3</v>
      </c>
      <c r="K266" s="2">
        <v>3.8399999999999997E-2</v>
      </c>
    </row>
    <row r="267" spans="1:11">
      <c r="A267" t="s">
        <v>17</v>
      </c>
      <c r="B267" t="s">
        <v>41</v>
      </c>
      <c r="C267" s="1">
        <v>45597</v>
      </c>
      <c r="D267">
        <v>52</v>
      </c>
      <c r="E267">
        <v>6</v>
      </c>
      <c r="F267">
        <v>492.23</v>
      </c>
      <c r="G267">
        <v>2</v>
      </c>
      <c r="H267" s="2">
        <v>0.33333333333333331</v>
      </c>
      <c r="I267">
        <v>3775.84</v>
      </c>
      <c r="J267">
        <v>2</v>
      </c>
      <c r="K267" s="2">
        <v>1.1000000000000001E-2</v>
      </c>
    </row>
    <row r="268" spans="1:11">
      <c r="A268" t="s">
        <v>18</v>
      </c>
      <c r="B268" t="s">
        <v>41</v>
      </c>
      <c r="C268" s="1">
        <v>45597</v>
      </c>
      <c r="D268">
        <v>74</v>
      </c>
      <c r="E268">
        <v>17</v>
      </c>
      <c r="F268">
        <v>284.91000000000003</v>
      </c>
      <c r="G268">
        <v>3</v>
      </c>
      <c r="H268" s="2">
        <v>0.17647058823529413</v>
      </c>
      <c r="I268">
        <v>2481.64</v>
      </c>
      <c r="J268">
        <v>1</v>
      </c>
      <c r="K268" s="2">
        <v>9.0500000000000011E-2</v>
      </c>
    </row>
    <row r="269" spans="1:11">
      <c r="A269" t="s">
        <v>19</v>
      </c>
      <c r="B269" t="s">
        <v>41</v>
      </c>
      <c r="C269" s="1">
        <v>45597</v>
      </c>
      <c r="D269">
        <v>50</v>
      </c>
      <c r="E269">
        <v>9</v>
      </c>
      <c r="F269">
        <v>237.95</v>
      </c>
      <c r="G269">
        <v>5</v>
      </c>
      <c r="H269" s="2">
        <v>0.55555555555555558</v>
      </c>
      <c r="I269">
        <v>3982.36</v>
      </c>
      <c r="J269">
        <v>3</v>
      </c>
      <c r="K269" s="2">
        <v>4.4299999999999999E-2</v>
      </c>
    </row>
    <row r="270" spans="1:11">
      <c r="A270" t="s">
        <v>20</v>
      </c>
      <c r="B270" t="s">
        <v>41</v>
      </c>
      <c r="C270" s="1">
        <v>45597</v>
      </c>
      <c r="D270">
        <v>30</v>
      </c>
      <c r="E270">
        <v>21</v>
      </c>
      <c r="F270">
        <v>372.34</v>
      </c>
      <c r="G270">
        <v>7</v>
      </c>
      <c r="H270" s="2">
        <v>0.33333333333333331</v>
      </c>
      <c r="I270">
        <v>1172.04</v>
      </c>
      <c r="J270">
        <v>2</v>
      </c>
      <c r="K270" s="2">
        <v>5.4800000000000001E-2</v>
      </c>
    </row>
    <row r="271" spans="1:11">
      <c r="A271" t="s">
        <v>21</v>
      </c>
      <c r="B271" t="s">
        <v>41</v>
      </c>
      <c r="C271" s="1">
        <v>45597</v>
      </c>
      <c r="D271">
        <v>74</v>
      </c>
      <c r="E271">
        <v>13</v>
      </c>
      <c r="F271">
        <v>324.77999999999997</v>
      </c>
      <c r="G271">
        <v>7</v>
      </c>
      <c r="H271" s="2">
        <v>0.53846153846153844</v>
      </c>
      <c r="I271">
        <v>995.6</v>
      </c>
      <c r="J271">
        <v>1</v>
      </c>
      <c r="K271" s="2">
        <v>3.0699999999999998E-2</v>
      </c>
    </row>
    <row r="272" spans="1:11">
      <c r="A272" t="s">
        <v>22</v>
      </c>
      <c r="B272" t="s">
        <v>41</v>
      </c>
      <c r="C272" s="1">
        <v>45597</v>
      </c>
      <c r="D272">
        <v>23</v>
      </c>
      <c r="E272">
        <v>7</v>
      </c>
      <c r="F272">
        <v>190.12</v>
      </c>
      <c r="G272">
        <v>4</v>
      </c>
      <c r="H272" s="2">
        <v>0.5714285714285714</v>
      </c>
      <c r="I272">
        <v>788.65</v>
      </c>
      <c r="J272">
        <v>3</v>
      </c>
      <c r="K272" s="2">
        <v>7.2000000000000008E-2</v>
      </c>
    </row>
    <row r="273" spans="1:11">
      <c r="A273" t="s">
        <v>23</v>
      </c>
      <c r="B273" t="s">
        <v>41</v>
      </c>
      <c r="C273" s="1">
        <v>45597</v>
      </c>
      <c r="D273">
        <v>32</v>
      </c>
      <c r="E273">
        <v>7</v>
      </c>
      <c r="F273">
        <v>563.41999999999996</v>
      </c>
      <c r="G273">
        <v>6</v>
      </c>
      <c r="H273" s="2">
        <v>0.8571428571428571</v>
      </c>
      <c r="I273">
        <v>3543.71</v>
      </c>
      <c r="J273">
        <v>2</v>
      </c>
      <c r="K273" s="2">
        <v>4.3799999999999999E-2</v>
      </c>
    </row>
    <row r="274" spans="1:11">
      <c r="A274" t="s">
        <v>24</v>
      </c>
      <c r="B274" t="s">
        <v>41</v>
      </c>
      <c r="C274" s="1">
        <v>45597</v>
      </c>
      <c r="D274">
        <v>59</v>
      </c>
      <c r="E274">
        <v>21</v>
      </c>
      <c r="F274">
        <v>633.37</v>
      </c>
      <c r="G274">
        <v>2</v>
      </c>
      <c r="H274" s="2">
        <v>9.5238095238095233E-2</v>
      </c>
      <c r="I274">
        <v>358.29</v>
      </c>
      <c r="J274">
        <v>1</v>
      </c>
      <c r="K274" s="2">
        <v>3.27E-2</v>
      </c>
    </row>
    <row r="275" spans="1:11">
      <c r="A275" t="s">
        <v>25</v>
      </c>
      <c r="B275" t="s">
        <v>41</v>
      </c>
      <c r="C275" s="1">
        <v>45597</v>
      </c>
      <c r="D275">
        <v>30</v>
      </c>
      <c r="E275">
        <v>6</v>
      </c>
      <c r="F275">
        <v>209.84</v>
      </c>
      <c r="G275">
        <v>1</v>
      </c>
      <c r="H275" s="2">
        <v>0.16666666666666666</v>
      </c>
      <c r="I275">
        <v>3534.1</v>
      </c>
      <c r="J275">
        <v>3</v>
      </c>
      <c r="K275" s="2">
        <v>4.2000000000000003E-2</v>
      </c>
    </row>
    <row r="276" spans="1:11">
      <c r="A276" t="s">
        <v>26</v>
      </c>
      <c r="B276" t="s">
        <v>41</v>
      </c>
      <c r="C276" s="1">
        <v>45597</v>
      </c>
      <c r="D276">
        <v>65</v>
      </c>
      <c r="E276">
        <v>9</v>
      </c>
      <c r="F276">
        <v>220.46</v>
      </c>
      <c r="G276">
        <v>3</v>
      </c>
      <c r="H276" s="2">
        <v>0.33333333333333331</v>
      </c>
      <c r="I276">
        <v>707.75</v>
      </c>
      <c r="J276">
        <v>2</v>
      </c>
      <c r="K276" s="2">
        <v>2.76E-2</v>
      </c>
    </row>
    <row r="277" spans="1:11">
      <c r="A277" t="s">
        <v>27</v>
      </c>
      <c r="B277" t="s">
        <v>41</v>
      </c>
      <c r="C277" s="1">
        <v>45597</v>
      </c>
      <c r="D277">
        <v>100</v>
      </c>
      <c r="E277">
        <v>6</v>
      </c>
      <c r="F277">
        <v>153.34</v>
      </c>
      <c r="G277">
        <v>3</v>
      </c>
      <c r="H277" s="2">
        <v>0.5</v>
      </c>
      <c r="I277">
        <v>1248.54</v>
      </c>
      <c r="J277">
        <v>1</v>
      </c>
      <c r="K277" s="2">
        <v>7.9000000000000001E-2</v>
      </c>
    </row>
    <row r="278" spans="1:11">
      <c r="A278" t="s">
        <v>28</v>
      </c>
      <c r="B278" t="s">
        <v>41</v>
      </c>
      <c r="C278" s="1">
        <v>45597</v>
      </c>
      <c r="D278">
        <v>81</v>
      </c>
      <c r="E278">
        <v>7</v>
      </c>
      <c r="F278">
        <v>79.62</v>
      </c>
      <c r="G278">
        <v>7</v>
      </c>
      <c r="H278" s="2">
        <v>1</v>
      </c>
      <c r="I278">
        <v>3892.76</v>
      </c>
      <c r="J278">
        <v>3</v>
      </c>
      <c r="K278" s="2">
        <v>9.74E-2</v>
      </c>
    </row>
    <row r="279" spans="1:11">
      <c r="A279" t="s">
        <v>29</v>
      </c>
      <c r="B279" t="s">
        <v>41</v>
      </c>
      <c r="C279" s="1">
        <v>45597</v>
      </c>
      <c r="D279">
        <v>26</v>
      </c>
      <c r="E279">
        <v>17</v>
      </c>
      <c r="F279">
        <v>504.54</v>
      </c>
      <c r="G279">
        <v>8</v>
      </c>
      <c r="H279" s="2">
        <v>0.47058823529411764</v>
      </c>
      <c r="I279">
        <v>3359.77</v>
      </c>
      <c r="J279">
        <v>2</v>
      </c>
      <c r="K279" s="2">
        <v>3.2000000000000001E-2</v>
      </c>
    </row>
    <row r="280" spans="1:11">
      <c r="A280" t="s">
        <v>30</v>
      </c>
      <c r="B280" t="s">
        <v>41</v>
      </c>
      <c r="C280" s="1">
        <v>45597</v>
      </c>
      <c r="D280">
        <v>96</v>
      </c>
      <c r="E280">
        <v>16</v>
      </c>
      <c r="F280">
        <v>161.69</v>
      </c>
      <c r="G280">
        <v>5</v>
      </c>
      <c r="H280" s="2">
        <v>0.3125</v>
      </c>
      <c r="I280">
        <v>392.05</v>
      </c>
      <c r="J280">
        <v>1</v>
      </c>
      <c r="K280" s="2">
        <v>9.5700000000000007E-2</v>
      </c>
    </row>
    <row r="281" spans="1:11">
      <c r="A281" t="s">
        <v>31</v>
      </c>
      <c r="B281" t="s">
        <v>41</v>
      </c>
      <c r="C281" s="1">
        <v>45597</v>
      </c>
      <c r="D281">
        <v>72</v>
      </c>
      <c r="E281">
        <v>12</v>
      </c>
      <c r="F281">
        <v>474.28</v>
      </c>
      <c r="G281">
        <v>1</v>
      </c>
      <c r="H281" s="2">
        <v>8.3333333333333329E-2</v>
      </c>
      <c r="I281">
        <v>1097.5999999999999</v>
      </c>
      <c r="J281">
        <v>3</v>
      </c>
      <c r="K281" s="2">
        <v>1E-3</v>
      </c>
    </row>
    <row r="282" spans="1:11">
      <c r="A282" t="s">
        <v>32</v>
      </c>
      <c r="B282" t="s">
        <v>41</v>
      </c>
      <c r="C282" s="1">
        <v>45597</v>
      </c>
      <c r="D282">
        <v>18</v>
      </c>
      <c r="E282">
        <v>15</v>
      </c>
      <c r="F282">
        <v>268.94</v>
      </c>
      <c r="G282">
        <v>1</v>
      </c>
      <c r="H282" s="2">
        <v>6.6666666666666666E-2</v>
      </c>
      <c r="I282">
        <v>1469.71</v>
      </c>
      <c r="J282">
        <v>2</v>
      </c>
      <c r="K282" s="2">
        <v>5.0900000000000001E-2</v>
      </c>
    </row>
    <row r="283" spans="1:11">
      <c r="A283" t="s">
        <v>33</v>
      </c>
      <c r="B283" t="s">
        <v>41</v>
      </c>
      <c r="C283" s="1">
        <v>45597</v>
      </c>
      <c r="D283">
        <v>87</v>
      </c>
      <c r="E283">
        <v>5</v>
      </c>
      <c r="F283">
        <v>601.28</v>
      </c>
      <c r="G283">
        <v>2</v>
      </c>
      <c r="H283" s="2">
        <v>0.4</v>
      </c>
      <c r="I283">
        <v>3491.19</v>
      </c>
      <c r="J283">
        <v>1</v>
      </c>
      <c r="K283" s="2">
        <v>2.9700000000000001E-2</v>
      </c>
    </row>
    <row r="284" spans="1:11">
      <c r="A284" t="s">
        <v>34</v>
      </c>
      <c r="B284" t="s">
        <v>41</v>
      </c>
      <c r="C284" s="1">
        <v>45597</v>
      </c>
      <c r="D284">
        <v>73</v>
      </c>
      <c r="E284">
        <v>8</v>
      </c>
      <c r="F284">
        <v>182.48</v>
      </c>
      <c r="G284">
        <v>8</v>
      </c>
      <c r="H284" s="2">
        <v>1</v>
      </c>
      <c r="I284">
        <v>548.46</v>
      </c>
      <c r="J284">
        <v>1</v>
      </c>
      <c r="K284" s="2">
        <v>8.8200000000000001E-2</v>
      </c>
    </row>
    <row r="285" spans="1:11">
      <c r="A285" t="s">
        <v>35</v>
      </c>
      <c r="B285" t="s">
        <v>41</v>
      </c>
      <c r="C285" s="1">
        <v>45597</v>
      </c>
      <c r="D285">
        <v>97</v>
      </c>
      <c r="E285">
        <v>14</v>
      </c>
      <c r="F285">
        <v>368.16</v>
      </c>
      <c r="G285">
        <v>0</v>
      </c>
      <c r="H285" s="2">
        <v>0</v>
      </c>
      <c r="I285">
        <v>3020.19</v>
      </c>
      <c r="J285">
        <v>3</v>
      </c>
      <c r="K285" s="2">
        <v>2.5099999999999997E-2</v>
      </c>
    </row>
    <row r="286" spans="1:11">
      <c r="A286" t="s">
        <v>37</v>
      </c>
      <c r="B286" t="s">
        <v>41</v>
      </c>
      <c r="C286" s="1">
        <v>45597</v>
      </c>
      <c r="D286">
        <v>28</v>
      </c>
      <c r="E286">
        <v>12</v>
      </c>
      <c r="F286">
        <v>565.51</v>
      </c>
      <c r="G286">
        <v>4</v>
      </c>
      <c r="H286" s="2">
        <v>0.33333333333333331</v>
      </c>
      <c r="I286">
        <v>231.16</v>
      </c>
      <c r="J286">
        <v>2</v>
      </c>
      <c r="K286" s="2">
        <v>6.2699999999999992E-2</v>
      </c>
    </row>
    <row r="287" spans="1:11">
      <c r="A287" t="s">
        <v>38</v>
      </c>
      <c r="B287" t="s">
        <v>41</v>
      </c>
      <c r="C287" s="1">
        <v>45597</v>
      </c>
      <c r="D287">
        <v>41</v>
      </c>
      <c r="E287">
        <v>13</v>
      </c>
      <c r="F287">
        <v>370.44</v>
      </c>
      <c r="G287">
        <v>9</v>
      </c>
      <c r="H287" s="2">
        <v>0.69230769230769229</v>
      </c>
      <c r="I287">
        <v>4484.96</v>
      </c>
      <c r="J287">
        <v>1</v>
      </c>
      <c r="K287" s="2">
        <v>8.5199999999999998E-2</v>
      </c>
    </row>
    <row r="288" spans="1:11">
      <c r="A288" t="s">
        <v>11</v>
      </c>
      <c r="B288" t="s">
        <v>41</v>
      </c>
      <c r="C288" s="1">
        <v>45627</v>
      </c>
      <c r="D288">
        <v>61</v>
      </c>
      <c r="E288">
        <v>13</v>
      </c>
      <c r="F288">
        <v>356.61</v>
      </c>
      <c r="G288">
        <v>7</v>
      </c>
      <c r="H288" s="2">
        <f t="shared" ref="H288:H313" si="0">G288/E288</f>
        <v>0.53846153846153844</v>
      </c>
      <c r="I288">
        <v>4099.6400000000003</v>
      </c>
      <c r="J288">
        <v>3</v>
      </c>
      <c r="K288" s="2">
        <v>2.9600000000000001E-2</v>
      </c>
    </row>
    <row r="289" spans="1:11">
      <c r="A289" t="s">
        <v>13</v>
      </c>
      <c r="B289" t="s">
        <v>41</v>
      </c>
      <c r="C289" s="1">
        <v>45627</v>
      </c>
      <c r="D289">
        <v>80</v>
      </c>
      <c r="E289">
        <v>13</v>
      </c>
      <c r="F289">
        <v>369.46</v>
      </c>
      <c r="G289">
        <v>4</v>
      </c>
      <c r="H289" s="2">
        <f t="shared" si="0"/>
        <v>0.30769230769230771</v>
      </c>
      <c r="I289">
        <v>3996.04</v>
      </c>
      <c r="J289">
        <v>2</v>
      </c>
      <c r="K289" s="2">
        <v>3.7499999999999999E-2</v>
      </c>
    </row>
    <row r="290" spans="1:11">
      <c r="A290" t="s">
        <v>14</v>
      </c>
      <c r="B290" t="s">
        <v>41</v>
      </c>
      <c r="C290" s="1">
        <v>45627</v>
      </c>
      <c r="D290">
        <v>51</v>
      </c>
      <c r="E290">
        <v>14</v>
      </c>
      <c r="F290">
        <v>419.93</v>
      </c>
      <c r="G290">
        <v>2</v>
      </c>
      <c r="H290" s="2">
        <f t="shared" si="0"/>
        <v>0.14285714285714285</v>
      </c>
      <c r="I290">
        <v>3543.6</v>
      </c>
      <c r="J290">
        <v>1</v>
      </c>
      <c r="K290" s="2">
        <v>4.6300000000000001E-2</v>
      </c>
    </row>
    <row r="291" spans="1:11">
      <c r="A291" t="s">
        <v>15</v>
      </c>
      <c r="B291" t="s">
        <v>41</v>
      </c>
      <c r="C291" s="1">
        <v>45627</v>
      </c>
      <c r="D291">
        <v>20</v>
      </c>
      <c r="E291">
        <v>5</v>
      </c>
      <c r="F291">
        <v>71.41</v>
      </c>
      <c r="G291">
        <v>3</v>
      </c>
      <c r="H291" s="2">
        <f t="shared" si="0"/>
        <v>0.6</v>
      </c>
      <c r="I291">
        <v>1527.27</v>
      </c>
      <c r="J291">
        <v>3</v>
      </c>
      <c r="K291" s="2">
        <v>2.7000000000000003E-2</v>
      </c>
    </row>
    <row r="292" spans="1:11">
      <c r="A292" t="s">
        <v>16</v>
      </c>
      <c r="B292" t="s">
        <v>41</v>
      </c>
      <c r="C292" s="1">
        <v>45627</v>
      </c>
      <c r="D292">
        <v>101</v>
      </c>
      <c r="E292">
        <v>14</v>
      </c>
      <c r="F292">
        <v>503.93</v>
      </c>
      <c r="G292">
        <v>5</v>
      </c>
      <c r="H292" s="2">
        <f t="shared" si="0"/>
        <v>0.35714285714285715</v>
      </c>
      <c r="I292">
        <v>1116.6099999999999</v>
      </c>
      <c r="J292">
        <v>2</v>
      </c>
      <c r="K292" s="2">
        <v>3.7000000000000005E-2</v>
      </c>
    </row>
    <row r="293" spans="1:11">
      <c r="A293" t="s">
        <v>17</v>
      </c>
      <c r="B293" t="s">
        <v>41</v>
      </c>
      <c r="C293" s="1">
        <v>45627</v>
      </c>
      <c r="D293">
        <v>70</v>
      </c>
      <c r="E293">
        <v>6</v>
      </c>
      <c r="F293">
        <v>488.97</v>
      </c>
      <c r="G293">
        <v>3</v>
      </c>
      <c r="H293" s="2">
        <f t="shared" si="0"/>
        <v>0.5</v>
      </c>
      <c r="I293">
        <v>3767.09</v>
      </c>
      <c r="J293">
        <v>1</v>
      </c>
      <c r="K293" s="2">
        <v>1.0800000000000001E-2</v>
      </c>
    </row>
    <row r="294" spans="1:11">
      <c r="A294" t="s">
        <v>18</v>
      </c>
      <c r="B294" t="s">
        <v>41</v>
      </c>
      <c r="C294" s="1">
        <v>45627</v>
      </c>
      <c r="D294">
        <v>84</v>
      </c>
      <c r="E294">
        <v>19</v>
      </c>
      <c r="F294">
        <v>301.2</v>
      </c>
      <c r="G294">
        <v>2</v>
      </c>
      <c r="H294" s="2">
        <f t="shared" si="0"/>
        <v>0.10526315789473684</v>
      </c>
      <c r="I294">
        <v>2608.4699999999998</v>
      </c>
      <c r="J294">
        <v>3</v>
      </c>
      <c r="K294" s="2">
        <v>0.1032</v>
      </c>
    </row>
    <row r="295" spans="1:11">
      <c r="A295" t="s">
        <v>19</v>
      </c>
      <c r="B295" t="s">
        <v>41</v>
      </c>
      <c r="C295" s="1">
        <v>45627</v>
      </c>
      <c r="D295">
        <v>50</v>
      </c>
      <c r="E295">
        <v>6</v>
      </c>
      <c r="F295">
        <v>219.19</v>
      </c>
      <c r="G295">
        <v>4</v>
      </c>
      <c r="H295" s="2">
        <f t="shared" si="0"/>
        <v>0.66666666666666663</v>
      </c>
      <c r="I295">
        <v>3836.95</v>
      </c>
      <c r="J295">
        <v>2</v>
      </c>
      <c r="K295" s="2">
        <v>3.8699999999999998E-2</v>
      </c>
    </row>
    <row r="296" spans="1:11">
      <c r="A296" t="s">
        <v>20</v>
      </c>
      <c r="B296" t="s">
        <v>41</v>
      </c>
      <c r="C296" s="1">
        <v>45627</v>
      </c>
      <c r="D296">
        <v>28</v>
      </c>
      <c r="E296">
        <v>19</v>
      </c>
      <c r="F296">
        <v>352.06</v>
      </c>
      <c r="G296">
        <v>9</v>
      </c>
      <c r="H296" s="2">
        <f t="shared" si="0"/>
        <v>0.47368421052631576</v>
      </c>
      <c r="I296">
        <v>1107.51</v>
      </c>
      <c r="J296">
        <v>3</v>
      </c>
      <c r="K296" s="2">
        <v>5.5E-2</v>
      </c>
    </row>
    <row r="297" spans="1:11">
      <c r="A297" t="s">
        <v>21</v>
      </c>
      <c r="B297" t="s">
        <v>41</v>
      </c>
      <c r="C297" s="1">
        <v>45627</v>
      </c>
      <c r="D297">
        <v>69</v>
      </c>
      <c r="E297">
        <v>16</v>
      </c>
      <c r="F297">
        <v>337.7</v>
      </c>
      <c r="G297">
        <v>9</v>
      </c>
      <c r="H297" s="2">
        <f t="shared" si="0"/>
        <v>0.5625</v>
      </c>
      <c r="I297">
        <v>947.47</v>
      </c>
      <c r="J297">
        <v>2</v>
      </c>
      <c r="K297" s="2">
        <v>3.56E-2</v>
      </c>
    </row>
    <row r="298" spans="1:11">
      <c r="A298" t="s">
        <v>22</v>
      </c>
      <c r="B298" t="s">
        <v>41</v>
      </c>
      <c r="C298" s="1">
        <v>45627</v>
      </c>
      <c r="D298">
        <v>18</v>
      </c>
      <c r="E298">
        <v>6</v>
      </c>
      <c r="F298">
        <v>212.39</v>
      </c>
      <c r="G298">
        <v>3</v>
      </c>
      <c r="H298" s="2">
        <f t="shared" si="0"/>
        <v>0.5</v>
      </c>
      <c r="I298">
        <v>730.81</v>
      </c>
      <c r="J298">
        <v>1</v>
      </c>
      <c r="K298" s="2">
        <v>8.6699999999999999E-2</v>
      </c>
    </row>
    <row r="299" spans="1:11">
      <c r="A299" t="s">
        <v>23</v>
      </c>
      <c r="B299" t="s">
        <v>41</v>
      </c>
      <c r="C299" s="1">
        <v>45627</v>
      </c>
      <c r="D299">
        <v>40</v>
      </c>
      <c r="E299">
        <v>7</v>
      </c>
      <c r="F299">
        <v>486.93</v>
      </c>
      <c r="G299">
        <v>7</v>
      </c>
      <c r="H299" s="2">
        <f t="shared" si="0"/>
        <v>1</v>
      </c>
      <c r="I299">
        <v>3643.63</v>
      </c>
      <c r="J299">
        <v>3</v>
      </c>
      <c r="K299" s="2">
        <v>4.0199999999999993E-2</v>
      </c>
    </row>
    <row r="300" spans="1:11">
      <c r="A300" t="s">
        <v>24</v>
      </c>
      <c r="B300" t="s">
        <v>41</v>
      </c>
      <c r="C300" s="1">
        <v>45627</v>
      </c>
      <c r="D300">
        <v>77</v>
      </c>
      <c r="E300">
        <v>16</v>
      </c>
      <c r="F300">
        <v>539.26</v>
      </c>
      <c r="G300">
        <v>3</v>
      </c>
      <c r="H300" s="2">
        <f t="shared" si="0"/>
        <v>0.1875</v>
      </c>
      <c r="I300">
        <v>379.83</v>
      </c>
      <c r="J300">
        <v>2</v>
      </c>
      <c r="K300" s="2">
        <v>3.7999999999999999E-2</v>
      </c>
    </row>
    <row r="301" spans="1:11">
      <c r="A301" t="s">
        <v>25</v>
      </c>
      <c r="B301" t="s">
        <v>41</v>
      </c>
      <c r="C301" s="1">
        <v>45627</v>
      </c>
      <c r="D301">
        <v>31</v>
      </c>
      <c r="E301">
        <v>6</v>
      </c>
      <c r="F301">
        <v>191.66</v>
      </c>
      <c r="G301">
        <v>2</v>
      </c>
      <c r="H301" s="2">
        <f t="shared" si="0"/>
        <v>0.33333333333333331</v>
      </c>
      <c r="I301">
        <v>3753.06</v>
      </c>
      <c r="J301">
        <v>1</v>
      </c>
      <c r="K301" s="2">
        <v>3.8300000000000001E-2</v>
      </c>
    </row>
    <row r="302" spans="1:11">
      <c r="A302" t="s">
        <v>26</v>
      </c>
      <c r="B302" t="s">
        <v>41</v>
      </c>
      <c r="C302" s="1">
        <v>45627</v>
      </c>
      <c r="D302">
        <v>57</v>
      </c>
      <c r="E302">
        <v>7</v>
      </c>
      <c r="F302">
        <v>190.08</v>
      </c>
      <c r="G302">
        <v>2</v>
      </c>
      <c r="H302" s="2">
        <f t="shared" si="0"/>
        <v>0.2857142857142857</v>
      </c>
      <c r="I302">
        <v>649.97</v>
      </c>
      <c r="J302">
        <v>3</v>
      </c>
      <c r="K302" s="2">
        <v>2.8799999999999999E-2</v>
      </c>
    </row>
    <row r="303" spans="1:11">
      <c r="A303" t="s">
        <v>27</v>
      </c>
      <c r="B303" t="s">
        <v>41</v>
      </c>
      <c r="C303" s="1">
        <v>45627</v>
      </c>
      <c r="D303">
        <v>88</v>
      </c>
      <c r="E303">
        <v>5</v>
      </c>
      <c r="F303">
        <v>168.89</v>
      </c>
      <c r="G303">
        <v>3</v>
      </c>
      <c r="H303" s="2">
        <f t="shared" si="0"/>
        <v>0.6</v>
      </c>
      <c r="I303">
        <v>1153.93</v>
      </c>
      <c r="J303">
        <v>2</v>
      </c>
      <c r="K303" s="2">
        <v>8.2500000000000004E-2</v>
      </c>
    </row>
    <row r="304" spans="1:11">
      <c r="A304" t="s">
        <v>28</v>
      </c>
      <c r="B304" t="s">
        <v>41</v>
      </c>
      <c r="C304" s="1">
        <v>45627</v>
      </c>
      <c r="D304">
        <v>74</v>
      </c>
      <c r="E304">
        <v>6</v>
      </c>
      <c r="F304">
        <v>87.83</v>
      </c>
      <c r="G304">
        <v>6</v>
      </c>
      <c r="H304" s="2">
        <f t="shared" si="0"/>
        <v>1</v>
      </c>
      <c r="I304">
        <v>3741.27</v>
      </c>
      <c r="J304">
        <v>1</v>
      </c>
      <c r="K304" s="2">
        <v>9.9700000000000011E-2</v>
      </c>
    </row>
    <row r="305" spans="1:11">
      <c r="A305" t="s">
        <v>29</v>
      </c>
      <c r="B305" t="s">
        <v>41</v>
      </c>
      <c r="C305" s="1">
        <v>45627</v>
      </c>
      <c r="D305">
        <v>26</v>
      </c>
      <c r="E305">
        <v>13</v>
      </c>
      <c r="F305">
        <v>543.15</v>
      </c>
      <c r="G305">
        <v>6</v>
      </c>
      <c r="H305" s="2">
        <f t="shared" si="0"/>
        <v>0.46153846153846156</v>
      </c>
      <c r="I305">
        <v>3793.56</v>
      </c>
      <c r="J305">
        <v>3</v>
      </c>
      <c r="K305" s="2">
        <v>3.56E-2</v>
      </c>
    </row>
    <row r="306" spans="1:11">
      <c r="A306" t="s">
        <v>30</v>
      </c>
      <c r="B306" t="s">
        <v>41</v>
      </c>
      <c r="C306" s="1">
        <v>45627</v>
      </c>
      <c r="D306">
        <v>99</v>
      </c>
      <c r="E306">
        <v>15</v>
      </c>
      <c r="F306">
        <v>181.12</v>
      </c>
      <c r="G306">
        <v>5</v>
      </c>
      <c r="H306" s="2">
        <f t="shared" si="0"/>
        <v>0.33333333333333331</v>
      </c>
      <c r="I306">
        <v>454.09</v>
      </c>
      <c r="J306">
        <v>2</v>
      </c>
      <c r="K306" s="2">
        <v>9.3599999999999989E-2</v>
      </c>
    </row>
    <row r="307" spans="1:11">
      <c r="A307" t="s">
        <v>31</v>
      </c>
      <c r="B307" t="s">
        <v>41</v>
      </c>
      <c r="C307" s="1">
        <v>45627</v>
      </c>
      <c r="D307">
        <v>74</v>
      </c>
      <c r="E307">
        <v>14</v>
      </c>
      <c r="F307">
        <v>508.85</v>
      </c>
      <c r="G307">
        <v>1</v>
      </c>
      <c r="H307" s="2">
        <f t="shared" si="0"/>
        <v>7.1428571428571425E-2</v>
      </c>
      <c r="I307">
        <v>1182.6300000000001</v>
      </c>
      <c r="J307">
        <v>1</v>
      </c>
      <c r="K307" s="2">
        <v>8.9999999999999998E-4</v>
      </c>
    </row>
    <row r="308" spans="1:11">
      <c r="A308" t="s">
        <v>32</v>
      </c>
      <c r="B308" t="s">
        <v>41</v>
      </c>
      <c r="C308" s="1">
        <v>45627</v>
      </c>
      <c r="D308">
        <v>21</v>
      </c>
      <c r="E308">
        <v>17</v>
      </c>
      <c r="F308">
        <v>297.83999999999997</v>
      </c>
      <c r="G308">
        <v>1</v>
      </c>
      <c r="H308" s="2">
        <f t="shared" si="0"/>
        <v>5.8823529411764705E-2</v>
      </c>
      <c r="I308">
        <v>1553.7</v>
      </c>
      <c r="J308">
        <v>1</v>
      </c>
      <c r="K308" s="2">
        <v>5.0700000000000002E-2</v>
      </c>
    </row>
    <row r="309" spans="1:11">
      <c r="A309" t="s">
        <v>33</v>
      </c>
      <c r="B309" t="s">
        <v>41</v>
      </c>
      <c r="C309" s="1">
        <v>45627</v>
      </c>
      <c r="D309">
        <v>94</v>
      </c>
      <c r="E309">
        <v>6</v>
      </c>
      <c r="F309">
        <v>537.26</v>
      </c>
      <c r="G309">
        <v>1</v>
      </c>
      <c r="H309" s="2">
        <f t="shared" si="0"/>
        <v>0.16666666666666666</v>
      </c>
      <c r="I309">
        <v>3665.55</v>
      </c>
      <c r="J309">
        <v>3</v>
      </c>
      <c r="K309" s="2">
        <v>3.0800000000000001E-2</v>
      </c>
    </row>
    <row r="310" spans="1:11">
      <c r="A310" t="s">
        <v>34</v>
      </c>
      <c r="B310" t="s">
        <v>41</v>
      </c>
      <c r="C310" s="1">
        <v>45627</v>
      </c>
      <c r="D310">
        <v>83</v>
      </c>
      <c r="E310">
        <v>9</v>
      </c>
      <c r="F310">
        <v>188.49</v>
      </c>
      <c r="G310">
        <v>7</v>
      </c>
      <c r="H310" s="2">
        <f t="shared" si="0"/>
        <v>0.77777777777777779</v>
      </c>
      <c r="I310">
        <v>545.09</v>
      </c>
      <c r="J310">
        <v>2</v>
      </c>
      <c r="K310" s="2">
        <v>8.5600000000000009E-2</v>
      </c>
    </row>
    <row r="311" spans="1:11">
      <c r="A311" t="s">
        <v>35</v>
      </c>
      <c r="B311" t="s">
        <v>41</v>
      </c>
      <c r="C311" s="1">
        <v>45627</v>
      </c>
      <c r="D311">
        <v>84</v>
      </c>
      <c r="E311">
        <v>14</v>
      </c>
      <c r="F311">
        <v>370.36</v>
      </c>
      <c r="G311">
        <v>0</v>
      </c>
      <c r="H311" s="2">
        <f t="shared" si="0"/>
        <v>0</v>
      </c>
      <c r="I311">
        <v>2605.02</v>
      </c>
      <c r="J311">
        <v>1</v>
      </c>
      <c r="K311" s="2">
        <v>2.5499999999999998E-2</v>
      </c>
    </row>
    <row r="312" spans="1:11">
      <c r="A312" t="s">
        <v>37</v>
      </c>
      <c r="B312" t="s">
        <v>41</v>
      </c>
      <c r="C312" s="1">
        <v>45627</v>
      </c>
      <c r="D312">
        <v>32</v>
      </c>
      <c r="E312">
        <v>10</v>
      </c>
      <c r="F312">
        <v>500.83</v>
      </c>
      <c r="G312">
        <v>4</v>
      </c>
      <c r="H312" s="2">
        <f t="shared" si="0"/>
        <v>0.4</v>
      </c>
      <c r="I312">
        <v>239.13</v>
      </c>
      <c r="J312">
        <v>3</v>
      </c>
      <c r="K312" s="2">
        <v>6.1900000000000004E-2</v>
      </c>
    </row>
    <row r="313" spans="1:11">
      <c r="A313" t="s">
        <v>38</v>
      </c>
      <c r="B313" t="s">
        <v>41</v>
      </c>
      <c r="C313" s="1">
        <v>45627</v>
      </c>
      <c r="D313">
        <v>39</v>
      </c>
      <c r="E313">
        <v>15</v>
      </c>
      <c r="F313">
        <v>319.08999999999997</v>
      </c>
      <c r="G313">
        <v>7</v>
      </c>
      <c r="H313" s="2">
        <f t="shared" si="0"/>
        <v>0.46666666666666667</v>
      </c>
      <c r="I313">
        <v>4573.5</v>
      </c>
      <c r="J313">
        <v>2</v>
      </c>
      <c r="K313" s="2">
        <v>8.0399999999999985E-2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9D92-451F-4097-8F27-28B26E62F23F}">
  <dimension ref="B1:G820"/>
  <sheetViews>
    <sheetView tabSelected="1" zoomScale="78" zoomScaleNormal="78" workbookViewId="0">
      <selection activeCell="F12" sqref="F12"/>
    </sheetView>
  </sheetViews>
  <sheetFormatPr defaultRowHeight="14"/>
  <cols>
    <col min="2" max="2" width="6.58203125" customWidth="1"/>
    <col min="3" max="3" width="10.83203125" bestFit="1" customWidth="1"/>
    <col min="4" max="4" width="13.08203125" bestFit="1" customWidth="1"/>
    <col min="5" max="5" width="10.25" bestFit="1" customWidth="1"/>
    <col min="6" max="6" width="13.5" bestFit="1" customWidth="1"/>
    <col min="7" max="7" width="12.4140625" bestFit="1" customWidth="1"/>
  </cols>
  <sheetData>
    <row r="1" spans="2:7" s="4" customFormat="1"/>
    <row r="2" spans="2:7" s="4" customFormat="1" ht="20">
      <c r="B2" s="5" t="s">
        <v>42</v>
      </c>
    </row>
    <row r="3" spans="2:7" s="4" customFormat="1">
      <c r="B3" s="6" t="s">
        <v>43</v>
      </c>
      <c r="C3" s="7"/>
      <c r="D3" s="7"/>
    </row>
    <row r="4" spans="2:7" s="4" customFormat="1"/>
    <row r="5" spans="2:7" s="4" customFormat="1"/>
    <row r="6" spans="2:7" s="4" customFormat="1"/>
    <row r="7" spans="2:7" s="4" customFormat="1"/>
    <row r="8" spans="2:7" s="3" customFormat="1">
      <c r="C8" s="14" t="s">
        <v>0</v>
      </c>
      <c r="D8" s="14" t="s">
        <v>49</v>
      </c>
      <c r="E8" s="14" t="s">
        <v>46</v>
      </c>
      <c r="F8" s="14" t="s">
        <v>47</v>
      </c>
      <c r="G8" s="14" t="s">
        <v>48</v>
      </c>
    </row>
    <row r="9" spans="2:7" s="3" customFormat="1">
      <c r="C9" t="s">
        <v>27</v>
      </c>
      <c r="D9" s="8">
        <v>14672.969999999998</v>
      </c>
      <c r="E9" s="8">
        <v>1119</v>
      </c>
      <c r="F9" s="8">
        <v>61</v>
      </c>
      <c r="G9" s="8">
        <v>40</v>
      </c>
    </row>
    <row r="10" spans="2:7" s="3" customFormat="1">
      <c r="C10" t="s">
        <v>13</v>
      </c>
      <c r="D10" s="8">
        <v>45196.26</v>
      </c>
      <c r="E10" s="8">
        <v>907</v>
      </c>
      <c r="F10" s="8">
        <v>141</v>
      </c>
      <c r="G10" s="8">
        <v>53</v>
      </c>
    </row>
    <row r="11" spans="2:7" s="3" customFormat="1">
      <c r="C11" t="s">
        <v>17</v>
      </c>
      <c r="D11" s="8">
        <v>43859.520000000004</v>
      </c>
      <c r="E11" s="8">
        <v>731</v>
      </c>
      <c r="F11" s="8">
        <v>79</v>
      </c>
      <c r="G11" s="8">
        <v>31</v>
      </c>
    </row>
    <row r="12" spans="2:7" s="3" customFormat="1">
      <c r="C12" t="s">
        <v>19</v>
      </c>
      <c r="D12" s="8">
        <v>49072.98</v>
      </c>
      <c r="E12" s="8">
        <v>660</v>
      </c>
      <c r="F12" s="8">
        <v>92</v>
      </c>
      <c r="G12" s="8">
        <v>71</v>
      </c>
    </row>
    <row r="13" spans="2:7" s="3" customFormat="1">
      <c r="C13" t="s">
        <v>21</v>
      </c>
      <c r="D13" s="8">
        <v>12040.489999999998</v>
      </c>
      <c r="E13" s="8">
        <v>806</v>
      </c>
      <c r="F13" s="8">
        <v>184</v>
      </c>
      <c r="G13" s="8">
        <v>100</v>
      </c>
    </row>
    <row r="14" spans="2:7" s="3" customFormat="1">
      <c r="C14" t="s">
        <v>35</v>
      </c>
      <c r="D14" s="8">
        <v>34781.939999999995</v>
      </c>
      <c r="E14" s="8">
        <v>1180</v>
      </c>
      <c r="F14" s="8">
        <v>173</v>
      </c>
      <c r="G14" s="8">
        <v>4</v>
      </c>
    </row>
    <row r="15" spans="2:7" s="3" customFormat="1">
      <c r="C15" t="s">
        <v>29</v>
      </c>
      <c r="D15" s="8">
        <v>44979.729999999996</v>
      </c>
      <c r="E15" s="8">
        <v>288</v>
      </c>
      <c r="F15" s="8">
        <v>180</v>
      </c>
      <c r="G15" s="8">
        <v>81</v>
      </c>
    </row>
    <row r="16" spans="2:7" s="3" customFormat="1">
      <c r="C16" t="s">
        <v>37</v>
      </c>
      <c r="D16" s="8">
        <v>2829.58</v>
      </c>
      <c r="E16" s="8">
        <v>407</v>
      </c>
      <c r="F16" s="8">
        <v>130</v>
      </c>
      <c r="G16" s="8">
        <v>52</v>
      </c>
    </row>
    <row r="17" spans="3:7" s="3" customFormat="1">
      <c r="C17" t="s">
        <v>14</v>
      </c>
      <c r="D17" s="8">
        <v>42137.53</v>
      </c>
      <c r="E17" s="8">
        <v>617</v>
      </c>
      <c r="F17" s="8">
        <v>177</v>
      </c>
      <c r="G17" s="8">
        <v>28</v>
      </c>
    </row>
    <row r="18" spans="3:7" s="3" customFormat="1">
      <c r="C18" t="s">
        <v>33</v>
      </c>
      <c r="D18" s="8">
        <v>41544.150000000009</v>
      </c>
      <c r="E18" s="8">
        <v>1151</v>
      </c>
      <c r="F18" s="8">
        <v>69</v>
      </c>
      <c r="G18" s="8">
        <v>18</v>
      </c>
    </row>
    <row r="19" spans="3:7" s="3" customFormat="1">
      <c r="C19" t="s">
        <v>11</v>
      </c>
      <c r="D19" s="8">
        <v>49041</v>
      </c>
      <c r="E19" s="8">
        <v>783</v>
      </c>
      <c r="F19" s="8">
        <v>181</v>
      </c>
      <c r="G19" s="8">
        <v>77</v>
      </c>
    </row>
    <row r="20" spans="3:7" s="3" customFormat="1">
      <c r="C20" t="s">
        <v>32</v>
      </c>
      <c r="D20" s="8">
        <v>18659.18</v>
      </c>
      <c r="E20" s="8">
        <v>246</v>
      </c>
      <c r="F20" s="8">
        <v>172</v>
      </c>
      <c r="G20" s="8">
        <v>17</v>
      </c>
    </row>
    <row r="21" spans="3:7" s="3" customFormat="1">
      <c r="C21" t="s">
        <v>25</v>
      </c>
      <c r="D21" s="8">
        <v>45591.429999999993</v>
      </c>
      <c r="E21" s="8">
        <v>379</v>
      </c>
      <c r="F21" s="8">
        <v>87</v>
      </c>
      <c r="G21" s="8">
        <v>18</v>
      </c>
    </row>
    <row r="22" spans="3:7" s="3" customFormat="1">
      <c r="C22" t="s">
        <v>15</v>
      </c>
      <c r="D22" s="8">
        <v>18368.47</v>
      </c>
      <c r="E22" s="8">
        <v>241</v>
      </c>
      <c r="F22" s="8">
        <v>80</v>
      </c>
      <c r="G22" s="8">
        <v>40</v>
      </c>
    </row>
    <row r="23" spans="3:7" s="3" customFormat="1">
      <c r="C23" t="s">
        <v>22</v>
      </c>
      <c r="D23" s="8">
        <v>9402.9399999999987</v>
      </c>
      <c r="E23" s="8">
        <v>226</v>
      </c>
      <c r="F23" s="8">
        <v>91</v>
      </c>
      <c r="G23" s="8">
        <v>73</v>
      </c>
    </row>
    <row r="24" spans="3:7" s="3" customFormat="1">
      <c r="C24" t="s">
        <v>34</v>
      </c>
      <c r="D24" s="8">
        <v>6133.4100000000008</v>
      </c>
      <c r="E24" s="8">
        <v>848</v>
      </c>
      <c r="F24" s="8">
        <v>99</v>
      </c>
      <c r="G24" s="8">
        <v>84</v>
      </c>
    </row>
    <row r="25" spans="3:7" s="3" customFormat="1">
      <c r="C25" t="s">
        <v>28</v>
      </c>
      <c r="D25" s="8">
        <v>45365.2</v>
      </c>
      <c r="E25" s="8">
        <v>1023</v>
      </c>
      <c r="F25" s="8">
        <v>76</v>
      </c>
      <c r="G25" s="8">
        <v>64</v>
      </c>
    </row>
    <row r="26" spans="3:7" s="3" customFormat="1">
      <c r="C26" t="s">
        <v>16</v>
      </c>
      <c r="D26" s="8">
        <v>12143.710000000001</v>
      </c>
      <c r="E26" s="8">
        <v>977</v>
      </c>
      <c r="F26" s="8">
        <v>166</v>
      </c>
      <c r="G26" s="8">
        <v>55</v>
      </c>
    </row>
    <row r="27" spans="3:7" s="3" customFormat="1">
      <c r="C27" t="s">
        <v>26</v>
      </c>
      <c r="D27" s="8">
        <v>7844.18</v>
      </c>
      <c r="E27" s="8">
        <v>747</v>
      </c>
      <c r="F27" s="8">
        <v>97</v>
      </c>
      <c r="G27" s="8">
        <v>31</v>
      </c>
    </row>
    <row r="28" spans="3:7" s="3" customFormat="1">
      <c r="C28" t="s">
        <v>38</v>
      </c>
      <c r="D28" s="8">
        <v>50524.4</v>
      </c>
      <c r="E28" s="8">
        <v>453</v>
      </c>
      <c r="F28" s="8">
        <v>184</v>
      </c>
      <c r="G28" s="8">
        <v>92</v>
      </c>
    </row>
    <row r="29" spans="3:7" s="3" customFormat="1">
      <c r="C29" t="s">
        <v>20</v>
      </c>
      <c r="D29" s="8">
        <v>14209.390000000001</v>
      </c>
      <c r="E29" s="8">
        <v>367</v>
      </c>
      <c r="F29" s="8">
        <v>217</v>
      </c>
      <c r="G29" s="8">
        <v>103</v>
      </c>
    </row>
    <row r="30" spans="3:7" s="3" customFormat="1">
      <c r="C30" t="s">
        <v>24</v>
      </c>
      <c r="D30" s="8">
        <v>4278.2</v>
      </c>
      <c r="E30" s="8">
        <v>882</v>
      </c>
      <c r="F30" s="8">
        <v>225</v>
      </c>
      <c r="G30" s="8">
        <v>30</v>
      </c>
    </row>
    <row r="31" spans="3:7" s="3" customFormat="1">
      <c r="C31" t="s">
        <v>23</v>
      </c>
      <c r="D31" s="8">
        <v>44146.13</v>
      </c>
      <c r="E31" s="8">
        <v>420</v>
      </c>
      <c r="F31" s="8">
        <v>74</v>
      </c>
      <c r="G31" s="8">
        <v>59</v>
      </c>
    </row>
    <row r="32" spans="3:7" s="3" customFormat="1">
      <c r="C32" t="s">
        <v>18</v>
      </c>
      <c r="D32" s="8">
        <v>29842.950000000004</v>
      </c>
      <c r="E32" s="8">
        <v>924</v>
      </c>
      <c r="F32" s="8">
        <v>218</v>
      </c>
      <c r="G32" s="8">
        <v>30</v>
      </c>
    </row>
    <row r="33" spans="3:7" s="3" customFormat="1">
      <c r="C33" t="s">
        <v>31</v>
      </c>
      <c r="D33" s="8">
        <v>14526.439999999999</v>
      </c>
      <c r="E33" s="8">
        <v>831</v>
      </c>
      <c r="F33" s="8">
        <v>154</v>
      </c>
      <c r="G33" s="8">
        <v>4</v>
      </c>
    </row>
    <row r="34" spans="3:7" s="3" customFormat="1">
      <c r="C34" t="s">
        <v>30</v>
      </c>
      <c r="D34" s="8">
        <v>5002.7100000000009</v>
      </c>
      <c r="E34" s="8">
        <v>1087</v>
      </c>
      <c r="F34" s="8">
        <v>212</v>
      </c>
      <c r="G34" s="8">
        <v>54</v>
      </c>
    </row>
    <row r="35" spans="3:7" s="3" customFormat="1">
      <c r="C35" t="s">
        <v>51</v>
      </c>
      <c r="D35" s="8">
        <v>706194.8899999999</v>
      </c>
      <c r="E35" s="8">
        <v>18300</v>
      </c>
      <c r="F35" s="8">
        <v>3619</v>
      </c>
      <c r="G35" s="8">
        <v>1309</v>
      </c>
    </row>
    <row r="36" spans="3:7" s="3" customFormat="1"/>
    <row r="37" spans="3:7" s="3" customFormat="1"/>
    <row r="38" spans="3:7" s="3" customFormat="1"/>
    <row r="39" spans="3:7" s="3" customFormat="1"/>
    <row r="40" spans="3:7" s="3" customFormat="1"/>
    <row r="41" spans="3:7" s="3" customFormat="1"/>
    <row r="42" spans="3:7" s="3" customFormat="1"/>
    <row r="43" spans="3:7" s="3" customFormat="1"/>
    <row r="44" spans="3:7" s="3" customFormat="1"/>
    <row r="45" spans="3:7" s="3" customFormat="1"/>
    <row r="46" spans="3:7" s="3" customFormat="1"/>
    <row r="47" spans="3:7" s="3" customFormat="1"/>
    <row r="48" spans="3:7"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Shahrin binte</cp:lastModifiedBy>
  <dcterms:created xsi:type="dcterms:W3CDTF">2025-10-13T15:07:55Z</dcterms:created>
  <dcterms:modified xsi:type="dcterms:W3CDTF">2025-10-13T23:08:17Z</dcterms:modified>
</cp:coreProperties>
</file>